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ções" sheetId="1" state="visible" r:id="rId3"/>
    <sheet name="Guia Como votar" sheetId="2" state="visible" r:id="rId4"/>
    <sheet name="Guia Cálculos" sheetId="3" state="visible" r:id="rId5"/>
    <sheet name="Dimensões" sheetId="4" state="visible" r:id="rId6"/>
    <sheet name="Avaliação CVC" sheetId="5" state="visible" r:id="rId7"/>
    <sheet name="Resumo" sheetId="6" state="visible" r:id="rId8"/>
  </sheets>
  <definedNames>
    <definedName function="false" hidden="false" localSheetId="4" name="_xlnm.Print_Area" vbProcedure="false">'Avaliação CVC'!$A$1:$AB$165</definedName>
    <definedName function="false" hidden="false" localSheetId="4" name="_xlnm.Print_Titles" vbProcedure="false">'Avaliação CVC'!$4:$5</definedName>
    <definedName function="false" hidden="true" localSheetId="4" name="_xlnm._FilterDatabase" vbProcedure="false">'Avaliação CVC'!$A$5:$AB$165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<sst xmlns="http://schemas.openxmlformats.org/spreadsheetml/2006/main" count="1310" uniqueCount="627">
  <si>
    <t xml:space="preserve">EDAV-AL — Planilha de Validade de Conteúdo (CVC) para avaliação por juízes</t>
  </si>
  <si>
    <t xml:space="preserve">Legenda: células com fundo amarelo e texto azul são as únicas que devem ser preenchidas/editadas.</t>
  </si>
  <si>
    <t xml:space="preserve">Parâmetro</t>
  </si>
  <si>
    <t xml:space="preserve">Valor</t>
  </si>
  <si>
    <t xml:space="preserve">Observação</t>
  </si>
  <si>
    <t xml:space="preserve">Nº de juízes (J)</t>
  </si>
  <si>
    <t xml:space="preserve">Número definido no grupo (5 juízes). As colunas da aba de avaliação têm J1–J5; não altere sem ajustar as colunas.</t>
  </si>
  <si>
    <t xml:space="preserve">Nota máxima (Vmax)</t>
  </si>
  <si>
    <t xml:space="preserve">Escala Likert de 1 a 5.</t>
  </si>
  <si>
    <t xml:space="preserve">Erro por viés de juízes (Pe)</t>
  </si>
  <si>
    <t xml:space="preserve">Fórmula: Pe = (1/J)^J.</t>
  </si>
  <si>
    <t xml:space="preserve">Ponto de corte — Manter (≥)</t>
  </si>
  <si>
    <t xml:space="preserve">Corte usual na literatura brasileira atribuído a Hernández-Nieto (2002); confirme com o critério adotado pela professora.</t>
  </si>
  <si>
    <t xml:space="preserve">Ponto de corte — Revisar (≥)</t>
  </si>
  <si>
    <t xml:space="preserve">Abaixo desse valor o item é marcado como 'Descartar'. Valor de referência, ajustável.</t>
  </si>
  <si>
    <t xml:space="preserve">Como preencher (juízes)</t>
  </si>
  <si>
    <t xml:space="preserve">1. Abra a aba 'Avaliação CVC'. Os itens estão agrupados por dimensão (D1 a D5), com o código, a origem e as versões em que aparecem.</t>
  </si>
  <si>
    <t xml:space="preserve">2. Para cada item, dê uma nota de 1 a 5 em cada um dos três critérios, na coluna do seu juiz (J1 a J5).</t>
  </si>
  <si>
    <t xml:space="preserve">3. Escala: 1 = pouquíssimo · 2 = pouco · 3 = médio · 4 = muito · 5 = muitíssimo.</t>
  </si>
  <si>
    <t xml:space="preserve">4. Se der nota 3 ou menos, descreva o problema/sugestão na coluna 'Observações'.</t>
  </si>
  <si>
    <t xml:space="preserve">5. As colunas de CVC e a decisão só aparecem quando os 5 juízes tiverem avaliado o item nos 3 critérios.</t>
  </si>
  <si>
    <t xml:space="preserve">Critérios avaliados</t>
  </si>
  <si>
    <t xml:space="preserve">Critério</t>
  </si>
  <si>
    <t xml:space="preserve">O que o juiz avalia</t>
  </si>
  <si>
    <t xml:space="preserve">Clareza de linguagem</t>
  </si>
  <si>
    <t xml:space="preserve">O item é compreensível e sem ambiguidade para o público-alvo (funcionários da UFMG)?</t>
  </si>
  <si>
    <t xml:space="preserve">Pertinência prática</t>
  </si>
  <si>
    <t xml:space="preserve">O item é adequado à realidade do trabalho dos funcionários da UFMG (docentes, TAEs e terceirizados)?</t>
  </si>
  <si>
    <t xml:space="preserve">Relevância teórica</t>
  </si>
  <si>
    <t xml:space="preserve">O item representa bem a dimensão em que foi classificado?</t>
  </si>
  <si>
    <t xml:space="preserve">Como o CVC é calculado</t>
  </si>
  <si>
    <t xml:space="preserve">CVC do critério = (média das notas dos 5 juízes ÷ Vmax) − Pe.</t>
  </si>
  <si>
    <t xml:space="preserve">CVC do item = média dos CVC dos 3 critérios. CVC da dimensão = média do CVC dos itens avaliados (aba 'Resumo').</t>
  </si>
  <si>
    <t xml:space="preserve">Decisão: Manter (≥ corte de manter) · Revisar (≥ corte de revisar) · Descartar (abaixo). Cortes editáveis nos parâmetros acima.</t>
  </si>
  <si>
    <t xml:space="preserve">Juízes (opcional: escreva os nomes)</t>
  </si>
  <si>
    <t xml:space="preserve">J1</t>
  </si>
  <si>
    <t xml:space="preserve">J2</t>
  </si>
  <si>
    <t xml:space="preserve">J3</t>
  </si>
  <si>
    <t xml:space="preserve">J4</t>
  </si>
  <si>
    <t xml:space="preserve">J5</t>
  </si>
  <si>
    <t xml:space="preserve">Exemplo de preenchimento (item fictício, apenas ilustrativo — não entra nos cálculos)</t>
  </si>
  <si>
    <t xml:space="preserve">Notas J1 a J5</t>
  </si>
  <si>
    <t xml:space="preserve">CVC do critério (fórmula)</t>
  </si>
  <si>
    <t xml:space="preserve">5 · 4 · 5 · 5 · 4</t>
  </si>
  <si>
    <t xml:space="preserve">4 · 4 · 5 · 4 · 4</t>
  </si>
  <si>
    <t xml:space="preserve">5 · 5 · 4 · 5 · 5</t>
  </si>
  <si>
    <t xml:space="preserve">CVC do item (exemplo)</t>
  </si>
  <si>
    <t xml:space="preserve">Decisão (exemplo)</t>
  </si>
  <si>
    <t xml:space="preserve">EDAV-AL — Guia do juiz: como votar</t>
  </si>
  <si>
    <t xml:space="preserve">Leia esta aba antes de preencher. Você vai dar notas de 1 a 5 para cada item da aba 'Avaliação CVC', em três critérios, usando apenas a coluna do seu juiz (J1 a J5).</t>
  </si>
  <si>
    <t xml:space="preserve">1. Passo a passo</t>
  </si>
  <si>
    <t xml:space="preserve">Etapa</t>
  </si>
  <si>
    <t xml:space="preserve">O que fazer</t>
  </si>
  <si>
    <t xml:space="preserve">1. Abra a aba 'Avaliação CVC'</t>
  </si>
  <si>
    <t xml:space="preserve">Os itens estão agrupados por dimensão (D1 a D5). Cada linha é um item, com código (ID), item-base, tipo, versões em que aparece e o texto do item.</t>
  </si>
  <si>
    <t xml:space="preserve">2. Descubra qual é a sua coluna</t>
  </si>
  <si>
    <t xml:space="preserve">Você é J1, J2, J3, J4 ou J5. Cada critério tem cinco colunas, uma por juiz. Veja a tabela da seção 3 para achar as suas três colunas.</t>
  </si>
  <si>
    <t xml:space="preserve">3. Leia o item com atenção</t>
  </si>
  <si>
    <t xml:space="preserve">Avalie o texto da linha, sem se influenciar pelas notas dos colegas. Variantes do mesmo item-base ficam juntas, mas cada linha deve receber a sua própria nota.</t>
  </si>
  <si>
    <t xml:space="preserve">4. Dê três notas de 1 a 5</t>
  </si>
  <si>
    <t xml:space="preserve">Uma nota para cada critério: clareza de linguagem, pertinência prática e relevância teórica. Só números inteiros de 1 a 5 são aceitos; qualquer outro valor é recusado pela planilha.</t>
  </si>
  <si>
    <t xml:space="preserve">5. Explique notas baixas</t>
  </si>
  <si>
    <t xml:space="preserve">Se alguma nota for 3 ou menos, ela fica em vermelho e a célula 'Observações / sugestão de reformulação' (última coluna) fica laranja. Descreva o problema e, se puder, sugira uma nova redação.</t>
  </si>
  <si>
    <t xml:space="preserve">6. Confira no final</t>
  </si>
  <si>
    <t xml:space="preserve">Todos os itens têm as três notas na sua coluna? As notas ≤ 3 têm observação? Não mexa nas colunas cinzas de CVC e Decisão: elas são calculadas sozinhas.</t>
  </si>
  <si>
    <t xml:space="preserve">2. Escala de notas</t>
  </si>
  <si>
    <t xml:space="preserve">Nota</t>
  </si>
  <si>
    <t xml:space="preserve">Significado</t>
  </si>
  <si>
    <t xml:space="preserve">Leitura sugerida (para o critério que você está avaliando)</t>
  </si>
  <si>
    <t xml:space="preserve">1</t>
  </si>
  <si>
    <t xml:space="preserve">pouquíssimo</t>
  </si>
  <si>
    <t xml:space="preserve">O item praticamente não atende ao critério.</t>
  </si>
  <si>
    <t xml:space="preserve">2</t>
  </si>
  <si>
    <t xml:space="preserve">pouco</t>
  </si>
  <si>
    <t xml:space="preserve">O item atende só em pequena parte.</t>
  </si>
  <si>
    <t xml:space="preserve">3</t>
  </si>
  <si>
    <t xml:space="preserve">médio</t>
  </si>
  <si>
    <t xml:space="preserve">Atende de forma parcial; precisa de ajustes. Escreva uma observação.</t>
  </si>
  <si>
    <t xml:space="preserve">4</t>
  </si>
  <si>
    <t xml:space="preserve">muito</t>
  </si>
  <si>
    <t xml:space="preserve">Atende bem; pode haver pequenos ajustes.</t>
  </si>
  <si>
    <t xml:space="preserve">5</t>
  </si>
  <si>
    <t xml:space="preserve">muitíssimo</t>
  </si>
  <si>
    <t xml:space="preserve">Atende plenamente ao critério.</t>
  </si>
  <si>
    <t xml:space="preserve">Regra da planilha: nota 3 ou menor exige observação. A coluna de observações não entra nos cálculos, mas é o que permite ao grupo reformular o item.</t>
  </si>
  <si>
    <t xml:space="preserve">3. Onde dar cada nota</t>
  </si>
  <si>
    <t xml:space="preserve">O que você avalia</t>
  </si>
  <si>
    <t xml:space="preserve">Colunas (J1 a J5)</t>
  </si>
  <si>
    <t xml:space="preserve">H a L</t>
  </si>
  <si>
    <t xml:space="preserve">M a Q</t>
  </si>
  <si>
    <t xml:space="preserve">R a V</t>
  </si>
  <si>
    <t xml:space="preserve">Seu juiz</t>
  </si>
  <si>
    <t xml:space="preserve">Clareza</t>
  </si>
  <si>
    <t xml:space="preserve">Pertinência</t>
  </si>
  <si>
    <t xml:space="preserve">Relevância</t>
  </si>
  <si>
    <t xml:space="preserve">Nome (aba Instruções)</t>
  </si>
  <si>
    <t xml:space="preserve">coluna H</t>
  </si>
  <si>
    <t xml:space="preserve">coluna M</t>
  </si>
  <si>
    <t xml:space="preserve">coluna R</t>
  </si>
  <si>
    <t xml:space="preserve">coluna I</t>
  </si>
  <si>
    <t xml:space="preserve">coluna N</t>
  </si>
  <si>
    <t xml:space="preserve">coluna S</t>
  </si>
  <si>
    <t xml:space="preserve">coluna J</t>
  </si>
  <si>
    <t xml:space="preserve">coluna O</t>
  </si>
  <si>
    <t xml:space="preserve">coluna T</t>
  </si>
  <si>
    <t xml:space="preserve">coluna K</t>
  </si>
  <si>
    <t xml:space="preserve">coluna P</t>
  </si>
  <si>
    <t xml:space="preserve">coluna U</t>
  </si>
  <si>
    <t xml:space="preserve">coluna L</t>
  </si>
  <si>
    <t xml:space="preserve">coluna Q</t>
  </si>
  <si>
    <t xml:space="preserve">coluna V</t>
  </si>
  <si>
    <t xml:space="preserve">As demais colunas da aba 'Avaliação CVC' (ID, Dim., Item-base, Tipo, Versões, Item) apenas identificam o item. As colunas W a AA (CVC e Decisão) são automáticas. A coluna AB é para as observações.</t>
  </si>
  <si>
    <t xml:space="preserve">4. Como ler as informações do item</t>
  </si>
  <si>
    <t xml:space="preserve">Campo</t>
  </si>
  <si>
    <t xml:space="preserve">ID</t>
  </si>
  <si>
    <t xml:space="preserve">Código único do item, no formato dimensão-número (ex.: D1-01).</t>
  </si>
  <si>
    <t xml:space="preserve">Dim.</t>
  </si>
  <si>
    <t xml:space="preserve">Dimensão em que o item foi classificado (D1 a D5).</t>
  </si>
  <si>
    <t xml:space="preserve">Item-base</t>
  </si>
  <si>
    <t xml:space="preserve">Código do item-base (B01, B02...). Itens com o mesmo código são versões do mesmo conteúdo; '—' indica item sem item-base.</t>
  </si>
  <si>
    <t xml:space="preserve">Tipo</t>
  </si>
  <si>
    <t xml:space="preserve">Item-base, variante do item-base ou item novo.</t>
  </si>
  <si>
    <t xml:space="preserve">Versões</t>
  </si>
  <si>
    <t xml:space="preserve">Versões do instrumento em que o item aparece (v1 a v5).</t>
  </si>
  <si>
    <t xml:space="preserve">5. O que a planilha mostra de volta</t>
  </si>
  <si>
    <t xml:space="preserve">Nota ≤ 3</t>
  </si>
  <si>
    <t xml:space="preserve">A célula fica em vermelho.</t>
  </si>
  <si>
    <t xml:space="preserve">Observação pendente</t>
  </si>
  <si>
    <t xml:space="preserve">A célula de observações fica laranja enquanto houver nota ≤ 3 sem comentário.</t>
  </si>
  <si>
    <t xml:space="preserve">CVC e decisão</t>
  </si>
  <si>
    <t xml:space="preserve">Só aparecem quando os 5 juízes tiverem dado as 3 notas daquele item. Antes disso, as células ficam vazias; isso é normal.</t>
  </si>
  <si>
    <t xml:space="preserve">Decisão</t>
  </si>
  <si>
    <t xml:space="preserve">Manter (verde), Revisar (amarelo) ou Descartar (vermelho), conforme os cortes da aba 'Instruções'. Veja como o cálculo funciona na aba 'Guia Cálculos'.</t>
  </si>
  <si>
    <t xml:space="preserve">6. Exemplo de preenchimento (item fictício, não entra nos cálculos)</t>
  </si>
  <si>
    <t xml:space="preserve">O juiz J2 avalia um item. Ele dá nota 4 em clareza, 5 em pertinência e 3 em relevância. Como a nota de relevância é 3, ele precisa escrever uma observação.</t>
  </si>
  <si>
    <t xml:space="preserve">Nota do J2</t>
  </si>
  <si>
    <t xml:space="preserve">Onde digitar</t>
  </si>
  <si>
    <t xml:space="preserve">Precisa de observação?</t>
  </si>
  <si>
    <t xml:space="preserve">Não</t>
  </si>
  <si>
    <t xml:space="preserve">Sim: nota 3 ou menos. Escreva na coluna AB, por exemplo: 'o item não deixa claro a qual dimensão pertence; sugiro especificar...'</t>
  </si>
  <si>
    <t xml:space="preserve">7. Cuidados</t>
  </si>
  <si>
    <t xml:space="preserve">•  Preencha somente as células amarelas com texto azul, na coluna do seu juiz.</t>
  </si>
  <si>
    <t xml:space="preserve">•  Não altere o número de juízes nem apague colunas: as fórmulas contam exatamente cinco juízes por critério.</t>
  </si>
  <si>
    <t xml:space="preserve">•  Não digite texto, decimais ou notas fora de 1 a 5 nas colunas de notas.</t>
  </si>
  <si>
    <t xml:space="preserve">•  Não preencha as colunas cinzas (W a AA) nem altere as fórmulas.</t>
  </si>
  <si>
    <t xml:space="preserve">•  Se um item estiver ambíguo demais para ser avaliado, dê a nota que julgar adequada e explique na observação; deixar o item em branco impede o cálculo do CVC.</t>
  </si>
  <si>
    <t xml:space="preserve">EDAV-AL — Guia dos cálculos do CVC</t>
  </si>
  <si>
    <t xml:space="preserve">O CVC (Coeficiente de Validade de Conteúdo) transforma as notas dos 5 juízes em um número entre 0 e 1 para cada critério, cada item e cada dimensão. Os valores desta aba vêm da aba 'Instruções' e acompanham qualquer ajuste feito lá.</t>
  </si>
  <si>
    <t xml:space="preserve">1. Parâmetros usados nas contas</t>
  </si>
  <si>
    <t xml:space="preserve">Cinco juízes. As fórmulas da aba 'Avaliação CVC' usam as colunas J1 a J5.</t>
  </si>
  <si>
    <t xml:space="preserve">Erro por viés (Pe)</t>
  </si>
  <si>
    <t xml:space="preserve">Pe = (1/J)^J. É o desconto aplicado a cada CVC de critério.</t>
  </si>
  <si>
    <t xml:space="preserve">Corte para Manter (≥)</t>
  </si>
  <si>
    <t xml:space="preserve">Corte usual na literatura brasileira, atribuído a Hernández-Nieto (2002). Confirme com o critério adotado pela professora.</t>
  </si>
  <si>
    <t xml:space="preserve">Corte para Revisar (≥)</t>
  </si>
  <si>
    <t xml:space="preserve">Abaixo desse valor o item é marcado como Descartar. Valor de referência, ajustável.</t>
  </si>
  <si>
    <t xml:space="preserve">Verde = valor puxado da aba 'Instruções'. Para mudar um parâmetro, altere-o lá.</t>
  </si>
  <si>
    <t xml:space="preserve">2. O caminho do cálculo, em cinco etapas</t>
  </si>
  <si>
    <t xml:space="preserve">Etapa 1 — Média das notas de cada critério</t>
  </si>
  <si>
    <t xml:space="preserve">Onde</t>
  </si>
  <si>
    <t xml:space="preserve">Aba 'Avaliação CVC', dentro das colunas W, X e Y.</t>
  </si>
  <si>
    <t xml:space="preserve">Em palavras</t>
  </si>
  <si>
    <t xml:space="preserve">Soma as notas dos 5 juízes naquele critério e divide por 5. Se faltar alguma nota, o CVC do critério fica vazio.</t>
  </si>
  <si>
    <t xml:space="preserve">Fórmula (linha 7)</t>
  </si>
  <si>
    <t xml:space="preserve">AVERAGE(H7:L7)   (clareza)   ·   AVERAGE(M7:Q7)   (pertinência)   ·   AVERAGE(R7:V7)   (relevância)</t>
  </si>
  <si>
    <t xml:space="preserve">Etapa 2 — CVC de cada critério (colunas W, X e Y)</t>
  </si>
  <si>
    <t xml:space="preserve">Aba 'Avaliação CVC': W = clareza, X = pertinência, Y = relevância.</t>
  </si>
  <si>
    <t xml:space="preserve">Divide a média pela nota máxima, o que coloca o resultado na escala de 0 a 1, e subtrai o erro por viés Pe. Só calcula quando os 5 juízes avaliaram.</t>
  </si>
  <si>
    <t xml:space="preserve">=IF(COUNT(H7:L7)&lt;Instruções!$B$5,"",AVERAGE(H7:L7)/Instruções!$B$6-Instruções!$B$7)</t>
  </si>
  <si>
    <t xml:space="preserve">Etapa 3 — CVC do item (coluna Z)</t>
  </si>
  <si>
    <t xml:space="preserve">Aba 'Avaliação CVC', coluna Z.</t>
  </si>
  <si>
    <t xml:space="preserve">Média simples dos três CVC de critério. Só aparece quando os três critérios já foram calculados.</t>
  </si>
  <si>
    <t xml:space="preserve">=IF(OR(W7="",X7="",Y7=""),"",AVERAGE(W7:Y7))</t>
  </si>
  <si>
    <t xml:space="preserve">Etapa 4 — Decisão (coluna AA)</t>
  </si>
  <si>
    <t xml:space="preserve">Aba 'Avaliação CVC', coluna AA.</t>
  </si>
  <si>
    <t xml:space="preserve">Compara o CVC do item com os dois cortes: Manter se for igual ou maior que o corte de manter; Revisar se for igual ou maior que o corte de revisar; Descartar se ficar abaixo.</t>
  </si>
  <si>
    <t xml:space="preserve">=IF(Z7="","",IF(Z7&gt;=Instruções!$B$8,"Manter",IF(Z7&gt;=Instruções!$B$9,"Revisar","Descartar")))</t>
  </si>
  <si>
    <t xml:space="preserve">Etapa 5 — CVC da dimensão (aba 'Resumo')</t>
  </si>
  <si>
    <t xml:space="preserve">Aba 'Resumo', coluna G (e D, E, F para cada critério).</t>
  </si>
  <si>
    <t xml:space="preserve">Média do CVC dos itens da dimensão que já têm CVC calculado. Itens ainda incompletos ficam de fora da média.</t>
  </si>
  <si>
    <t xml:space="preserve">=IFERROR(AVERAGEIFS('Avaliação CVC'!$Z$6:$Z$165,'Avaliação CVC'!$B$6:$B$165,A4),"")</t>
  </si>
  <si>
    <t xml:space="preserve">3. Exemplo passo a passo (item fictício, não entra nos cálculos)</t>
  </si>
  <si>
    <t xml:space="preserve">As contas abaixo são fórmulas reais ligadas aos parâmetros da seção 1. As notas em azul são só do exemplo; mudar essas células não afeta a avaliação.</t>
  </si>
  <si>
    <t xml:space="preserve">Média das notas</t>
  </si>
  <si>
    <t xml:space="preserve">Média ÷ Vmax</t>
  </si>
  <si>
    <t xml:space="preserve">CVC do critério</t>
  </si>
  <si>
    <t xml:space="preserve">CVC do item = média dos 3 CVC de critério</t>
  </si>
  <si>
    <t xml:space="preserve">Decisão (compara com os cortes da seção 1)</t>
  </si>
  <si>
    <t xml:space="preserve">Neste exemplo, o item fica entre os dois cortes: não atinge o de manter, mas passa o de revisar. A decisão é Revisar: vale reformular o texto antes de decidir se o item permanece.</t>
  </si>
  <si>
    <t xml:space="preserve">4. Como interpretar os números</t>
  </si>
  <si>
    <t xml:space="preserve">Pergunta</t>
  </si>
  <si>
    <t xml:space="preserve">Resposta</t>
  </si>
  <si>
    <t xml:space="preserve">Qual o maior CVC possível?</t>
  </si>
  <si>
    <t xml:space="preserve">Quando todos os juízes dão a nota máxima (média = Vmax). O resultado é 1 − Pe, quase 1.</t>
  </si>
  <si>
    <t xml:space="preserve">Qual o menor CVC possível?</t>
  </si>
  <si>
    <t xml:space="preserve">Quando todos os juízes dão nota 1 (média = 1). O resultado é 1/Vmax − Pe.</t>
  </si>
  <si>
    <t xml:space="preserve">Qual média de notas equivale ao corte de Manter?</t>
  </si>
  <si>
    <t xml:space="preserve">Como o CVC do item é a média das notas ÷ Vmax − Pe, a média geral de notas que atinge o corte é (corte + Pe) × Vmax.</t>
  </si>
  <si>
    <t xml:space="preserve">E ao corte de Revisar?</t>
  </si>
  <si>
    <t xml:space="preserve">Mesma conta, com o corte de revisar.</t>
  </si>
  <si>
    <t xml:space="preserve">Por que subtrair o Pe?</t>
  </si>
  <si>
    <t xml:space="preserve">Pe corrige a chance de os juízes concordarem por acaso. Com 5 juízes ele é muito pequeno (cerca de 0,0003) e muda pouco o resultado, mas faz parte da fórmula do CVC e por isso é mantido.</t>
  </si>
  <si>
    <t xml:space="preserve">Nota baixa em um critério</t>
  </si>
  <si>
    <t xml:space="preserve">Veja qual dos três CVC de critério (colunas W, X ou Y) puxou o item para baixo. Isso indica o que precisa ser revisado: a linguagem, a adequação ao trabalho ou a ligação com a dimensão.</t>
  </si>
  <si>
    <t xml:space="preserve">5. Aba 'Resumo': o que cada coluna mostra</t>
  </si>
  <si>
    <t xml:space="preserve">Coluna</t>
  </si>
  <si>
    <t xml:space="preserve">Nº de itens</t>
  </si>
  <si>
    <t xml:space="preserve">Quantidade de itens da dimensão na aba 'Avaliação CVC'.</t>
  </si>
  <si>
    <t xml:space="preserve">Itens avaliados (5 juízes)</t>
  </si>
  <si>
    <t xml:space="preserve">Quantidade de itens da dimensão que já têm CVC calculado, ou seja, com as 3 notas dos 5 juízes.</t>
  </si>
  <si>
    <t xml:space="preserve">CVC clareza, pertinência e relevância</t>
  </si>
  <si>
    <t xml:space="preserve">Média dos CVC de cada critério entre os itens avaliados da dimensão.</t>
  </si>
  <si>
    <t xml:space="preserve">CVC da dimensão</t>
  </si>
  <si>
    <t xml:space="preserve">Média dos CVC dos itens avaliados da dimensão.</t>
  </si>
  <si>
    <t xml:space="preserve">Manter, Revisar e Descartar</t>
  </si>
  <si>
    <t xml:space="preserve">Quantos itens da dimensão receberam cada decisão.</t>
  </si>
  <si>
    <t xml:space="preserve">Linha Total</t>
  </si>
  <si>
    <t xml:space="preserve">Média simples de todos os itens avaliados (não é a média das médias das dimensões) e soma das contagens.</t>
  </si>
  <si>
    <t xml:space="preserve">Tabela de versões (v1 a v5)</t>
  </si>
  <si>
    <t xml:space="preserve">Conta os itens de cada dimensão que aparecem em cada versão; um item presente em várias versões é contado em cada uma.</t>
  </si>
  <si>
    <t xml:space="preserve">6. Pontos de atenção</t>
  </si>
  <si>
    <t xml:space="preserve">•  As colunas de CVC e a decisão só aparecem quando os 5 juízes avaliaram o item nos 3 critérios. Enquanto isso, a aba 'Resumo' mostra apenas o que já está completo.</t>
  </si>
  <si>
    <t xml:space="preserve">•  As colunas W a Z usam o valor exato (sem arredondar); a planilha apenas exibe 4 casas decimais. O exemplo da aba 'Instruções' arredonda a 4 casas, por isso pode diferir na 5ª casa.</t>
  </si>
  <si>
    <t xml:space="preserve">•  Alterar o número de juízes em 'Instruções' não cria novas colunas de nota. Se o grupo mudar o número de juízes, será preciso ajustar as colunas da aba 'Avaliação CVC'.</t>
  </si>
  <si>
    <t xml:space="preserve">•  Os cortes de 0,80 (Manter) e 0,70 (Revisar) podem ser mudados na aba 'Instruções' e todas as decisões se atualizam.</t>
  </si>
  <si>
    <t xml:space="preserve">Cód.</t>
  </si>
  <si>
    <t xml:space="preserve">Dimensão (nome do banco de itens)</t>
  </si>
  <si>
    <t xml:space="preserve">Definição</t>
  </si>
  <si>
    <t xml:space="preserve">Nome alternativo (versão neutra da justificativa)</t>
  </si>
  <si>
    <t xml:space="preserve">Nº de itens únicos</t>
  </si>
  <si>
    <t xml:space="preserve">D1</t>
  </si>
  <si>
    <t xml:space="preserve">Hipervigilância Social Racializada e Adaptativa</t>
  </si>
  <si>
    <t xml:space="preserve">Gasto de energia psíquica para antecipar episódios de discriminação.</t>
  </si>
  <si>
    <t xml:space="preserve">Carga de vigilância relacional e tensão interpessoal no trabalho</t>
  </si>
  <si>
    <t xml:space="preserve">Presente nas 5 versões (7 itens-base + novos).</t>
  </si>
  <si>
    <t xml:space="preserve">D2</t>
  </si>
  <si>
    <t xml:space="preserve">Carga Mental de Transposição de Barreiras</t>
  </si>
  <si>
    <t xml:space="preserve">Desgaste decorrente de barreiras arquitetônicas, econômicas e comunicacionais.</t>
  </si>
  <si>
    <t xml:space="preserve">Desgaste operacional e carga de transposição de barreiras</t>
  </si>
  <si>
    <t xml:space="preserve">Presente nas 5 versões; na v2 todos os itens são novos.</t>
  </si>
  <si>
    <t xml:space="preserve">D3</t>
  </si>
  <si>
    <t xml:space="preserve">Agência Comunitária e Rede de Cuidado Solidário</t>
  </si>
  <si>
    <t xml:space="preserve">Fatores de proteção e suporte social interpessoal no campus.</t>
  </si>
  <si>
    <t xml:space="preserve">Agência comunitária e rede de suporte institucional</t>
  </si>
  <si>
    <t xml:space="preserve">Presente nas 5 versões; itens de proteção.</t>
  </si>
  <si>
    <t xml:space="preserve">D4</t>
  </si>
  <si>
    <t xml:space="preserve">Sentimento de Pertencimento e Desalienação do Espaço</t>
  </si>
  <si>
    <t xml:space="preserve">Impacto existencial e relação de inclusão/exclusão do sujeito com a instituição.</t>
  </si>
  <si>
    <t xml:space="preserve">Integração institucional e pertencimento no território laboral</t>
  </si>
  <si>
    <t xml:space="preserve">D5</t>
  </si>
  <si>
    <t xml:space="preserve">Saúde Mental (dimensão proposta só na v2)</t>
  </si>
  <si>
    <t xml:space="preserve">RASCUNHO derivado dos itens (não consta nos documentos): condições de trabalho e suporte institucional para a preservação da saúde mental e do bem-estar do trabalhador.</t>
  </si>
  <si>
    <t xml:space="preserve">— (sem equivalente na versão neutra)</t>
  </si>
  <si>
    <t xml:space="preserve">Aparece apenas na v2. O grupo decidiu trabalhar com 4 dimensões: definir se D5 permanece, é absorvida por outra dimensão ou sai.</t>
  </si>
  <si>
    <t xml:space="preserve">Total</t>
  </si>
  <si>
    <t xml:space="preserve">Nota: nomes e definições de D1–D4 vêm do documento do grupo; a definição de D5 é um rascunho para validação do grupo.</t>
  </si>
  <si>
    <t xml:space="preserve">EDAV-AL — Avaliação dos itens pelos juízes (CVC)</t>
  </si>
  <si>
    <t xml:space="preserve">Notas de 1 a 5 nas células amarelas. Itens agrupados por dimensão; variantes do mesmo item-base ficam juntas. Instruções e cortes na aba 'Instruções'.</t>
  </si>
  <si>
    <t xml:space="preserve">Escala: 1 = pouquíssimo · 2 = pouco · 3 = médio · 4 = muito · 5 = muitíssimo     |     Nota ≤ 3 fica em vermelho: descreva o problema/sugestão em Observações (célula laranja até ser preenchida).</t>
  </si>
  <si>
    <t xml:space="preserve">Item</t>
  </si>
  <si>
    <t xml:space="preserve">CVC clareza</t>
  </si>
  <si>
    <t xml:space="preserve">CVC pertinência</t>
  </si>
  <si>
    <t xml:space="preserve">CVC relevância</t>
  </si>
  <si>
    <t xml:space="preserve">CVC do item</t>
  </si>
  <si>
    <t xml:space="preserve">Observações / sugestão de reformulação</t>
  </si>
  <si>
    <t xml:space="preserve">D1 — Hipervigilância Social Racializada e Adaptativa
Gasto de energia psíquica para antecipar episódios de discriminação.</t>
  </si>
  <si>
    <t xml:space="preserve">D1-01</t>
  </si>
  <si>
    <t xml:space="preserve">B01</t>
  </si>
  <si>
    <t xml:space="preserve">v1, v5</t>
  </si>
  <si>
    <t xml:space="preserve">Sinto que preciso prestar atenção dobrada no meu modo de falar ou vestir para evitar ser mal interpretado(a) ou discriminado(a) no campus.</t>
  </si>
  <si>
    <t xml:space="preserve">D1-02</t>
  </si>
  <si>
    <t xml:space="preserve">Variante do item-base</t>
  </si>
  <si>
    <t xml:space="preserve">v2</t>
  </si>
  <si>
    <t xml:space="preserve">Percebo a necessidade de monitorar meu modo de falar ou me comportar para evitar julgamentos ou interpretações distorcidas no trabalho.</t>
  </si>
  <si>
    <t xml:space="preserve">D1-03</t>
  </si>
  <si>
    <t xml:space="preserve">v3</t>
  </si>
  <si>
    <t xml:space="preserve">Sinto que preciso redobrar a atenção no meu modo de falar, vestir ou agir para evitar ser mal interpretado(a) no trabalho.</t>
  </si>
  <si>
    <t xml:space="preserve">D1-04</t>
  </si>
  <si>
    <t xml:space="preserve">v4</t>
  </si>
  <si>
    <t xml:space="preserve">Sinto que preciso prestar atenção na maneira como me comporto para evitar ser discriminado no ambiente de trabalho.</t>
  </si>
  <si>
    <t xml:space="preserve">D1-05</t>
  </si>
  <si>
    <t xml:space="preserve">B02</t>
  </si>
  <si>
    <t xml:space="preserve">v1, v4, v5</t>
  </si>
  <si>
    <t xml:space="preserve">Fico tenso(a) ou apreensivo(a) ao circular por determinados prédios ou espaços da universidade, onde vejo poucas pessoas com o meu perfil.</t>
  </si>
  <si>
    <t xml:space="preserve">D1-06</t>
  </si>
  <si>
    <t xml:space="preserve">Adoto maior reserva ou cautela ao circular por determinados ambientes da universidade onde me sinto pouco integrado.</t>
  </si>
  <si>
    <t xml:space="preserve">D1-07</t>
  </si>
  <si>
    <t xml:space="preserve">Sinto tensão ao circular por espaços da instituição em que ainda não me sinto familiarizado(a).</t>
  </si>
  <si>
    <t xml:space="preserve">D1-08</t>
  </si>
  <si>
    <t xml:space="preserve">B03</t>
  </si>
  <si>
    <t xml:space="preserve">Sinto a necessidade de demonstrar um desempenho acadêmico/laboral superior ao dos outros para ter o meu valor reconhecido.</t>
  </si>
  <si>
    <t xml:space="preserve">D1-09</t>
  </si>
  <si>
    <t xml:space="preserve">Sinto a exigência de entregar um desempenho superior para ter meu trabalho devidamente reconhecido na instituição.</t>
  </si>
  <si>
    <t xml:space="preserve">D1-10</t>
  </si>
  <si>
    <t xml:space="preserve">Sinto a necessidade de demonstrar um desempenho superior ao dos outros para ter o meu valor reconhecido no trabalho.</t>
  </si>
  <si>
    <t xml:space="preserve">D1-11</t>
  </si>
  <si>
    <t xml:space="preserve">Sinto que preciso demonstrar constantemente minha competência no trabalho.</t>
  </si>
  <si>
    <t xml:space="preserve">D1-12</t>
  </si>
  <si>
    <t xml:space="preserve">B04</t>
  </si>
  <si>
    <t xml:space="preserve">Perco a concentração nas tarefas quando presencio ou escuto comentários preconceituosos velados no ambiente universitário.</t>
  </si>
  <si>
    <t xml:space="preserve">D1-13</t>
  </si>
  <si>
    <t xml:space="preserve">Vejo minha atenção nas tarefas afetada quando presencio atitudes hostis ou comentários pejorativos no ambiente de trabalho.</t>
  </si>
  <si>
    <t xml:space="preserve">D1-14</t>
  </si>
  <si>
    <t xml:space="preserve">Tenho dificuldade de me concentrar após ouvir comentários depreciativos no ambiente institucional.</t>
  </si>
  <si>
    <t xml:space="preserve">D1-15</t>
  </si>
  <si>
    <t xml:space="preserve">B05</t>
  </si>
  <si>
    <t xml:space="preserve">Evito expor dúvidas ou opiniões em público na faculdade por medo de que isso seja usado para reforçar estereótipos.</t>
  </si>
  <si>
    <t xml:space="preserve">D1-16</t>
  </si>
  <si>
    <t xml:space="preserve">Evito expor dúvidas ou posicionamentos em reuniões e conversas de trabalho para não me expor a críticas desproporcionais.</t>
  </si>
  <si>
    <t xml:space="preserve">D1-17</t>
  </si>
  <si>
    <t xml:space="preserve">Evito expor dúvidas ou opiniões em público por receio de ser desvalorizado(a).</t>
  </si>
  <si>
    <t xml:space="preserve">D1-18</t>
  </si>
  <si>
    <t xml:space="preserve">B06</t>
  </si>
  <si>
    <t xml:space="preserve">v1, v3, v4, v5</t>
  </si>
  <si>
    <t xml:space="preserve">Sinto a necessidade de medir cada gesto ou tom de voz ao interagir com professores, gestores ou figuras de autoridade no campus.</t>
  </si>
  <si>
    <t xml:space="preserve">D1-19</t>
  </si>
  <si>
    <t xml:space="preserve">Meço com rigor meus gestos e tom de voz ao interagir com gestores ou figuras de autoridade no campus.</t>
  </si>
  <si>
    <t xml:space="preserve">D1-20</t>
  </si>
  <si>
    <t xml:space="preserve">B07</t>
  </si>
  <si>
    <t xml:space="preserve">Fico em alerta constante pensando que qualquer erro meu será atribuído à minha raça/origem e não a uma dificuldade comum de aprendizado ou trabalho.</t>
  </si>
  <si>
    <t xml:space="preserve">D1-21</t>
  </si>
  <si>
    <t xml:space="preserve">Percebo a preocupação de que eventuais falhas operacionais minhas sejam avaliadas com mais rigor do que as de outros colegas.</t>
  </si>
  <si>
    <t xml:space="preserve">D1-22</t>
  </si>
  <si>
    <t xml:space="preserve">Fico em alerta ao pensar que um erro meu pode levar outras pessoas a questionarem minha competência.</t>
  </si>
  <si>
    <t xml:space="preserve">D1-23</t>
  </si>
  <si>
    <t xml:space="preserve">—</t>
  </si>
  <si>
    <t xml:space="preserve">Item novo</t>
  </si>
  <si>
    <t xml:space="preserve">v1</t>
  </si>
  <si>
    <t xml:space="preserve">Temo que posso ser prejudicado profissionalmente por colegas do trabalho e/ou superiores que não gostam de mim.</t>
  </si>
  <si>
    <t xml:space="preserve">D1-24</t>
  </si>
  <si>
    <t xml:space="preserve">Sinto que as relações com as pessoas que trabalham comigo são um ponto de preocupação constante.</t>
  </si>
  <si>
    <t xml:space="preserve">D1-25</t>
  </si>
  <si>
    <t xml:space="preserve">Geralmente, evito me aproximar a nível pessoal dos meus colegas de trabalho e/ou superiores para evitar conflitos de convivência.</t>
  </si>
  <si>
    <t xml:space="preserve">D1-26</t>
  </si>
  <si>
    <t xml:space="preserve">Percebo que há diferenças acentuadas entre as sanções aplicadas a mim e aos outros colaboradores.</t>
  </si>
  <si>
    <t xml:space="preserve">D1-27</t>
  </si>
  <si>
    <t xml:space="preserve">Presencio ou me deparo com episódios de postura desrespeitosa ou preconceito no cotidiano universitário.</t>
  </si>
  <si>
    <t xml:space="preserve">D1-28</t>
  </si>
  <si>
    <t xml:space="preserve">Reviso mentalmente o que vou dizer antes de participar de reuniões ou atividades institucionais.</t>
  </si>
  <si>
    <t xml:space="preserve">D1-29</t>
  </si>
  <si>
    <t xml:space="preserve">Observo as reações das pessoas para avaliar como minhas falas são recebidas.</t>
  </si>
  <si>
    <t xml:space="preserve">D1-30</t>
  </si>
  <si>
    <t xml:space="preserve">Sinto dificuldade de relaxar em situações nas quais meu desempenho está sendo avaliado.</t>
  </si>
  <si>
    <t xml:space="preserve">D1-31</t>
  </si>
  <si>
    <t xml:space="preserve">Evito contato visual com estudantes e outros servidores de cargos mais altos que o meu por achar que vou deixá-los desconfortáveis com a minha presença.</t>
  </si>
  <si>
    <t xml:space="preserve">D1-32</t>
  </si>
  <si>
    <t xml:space="preserve">Procuro realizar minha tarefa mais rapidamente ao perceber que um estudante ou outra pessoa parece estar com pressa, mesmo que essa urgência não tenha sido expressa.</t>
  </si>
  <si>
    <t xml:space="preserve">D1-33</t>
  </si>
  <si>
    <t xml:space="preserve">Vou a lugares isolados quando termino minhas tarefas por pensar que não me encaixo no ambiente de trabalho.</t>
  </si>
  <si>
    <t xml:space="preserve">D1-34</t>
  </si>
  <si>
    <t xml:space="preserve">v5</t>
  </si>
  <si>
    <t xml:space="preserve">Fico apreensivo(a) em demonstrar entusiasmo, rir ou falar um pouco mais alto em momentos de pausa da aula/trabalho por medo de ser julgado(a) como inadequada para o ambiente.</t>
  </si>
  <si>
    <t xml:space="preserve">D1-35</t>
  </si>
  <si>
    <t xml:space="preserve">Percebo que os meus horários de chegada, saída e tempo de intervalo são monitorados ou questionados com muito mais rigor comparado a outras pessoas do campus.</t>
  </si>
  <si>
    <t xml:space="preserve">D1-36</t>
  </si>
  <si>
    <t xml:space="preserve">Me sinto cansado(a) mentalmente antes mesmo de chegar no campus apenas por ter que me preparar psicologicamente para as interações sociais no ambiente.</t>
  </si>
  <si>
    <t xml:space="preserve">D2 — Carga Mental de Transposição de Barreiras
Desgaste decorrente de barreiras arquitetônicas, econômicas e comunicacionais.</t>
  </si>
  <si>
    <t xml:space="preserve">D2-01</t>
  </si>
  <si>
    <t xml:space="preserve">B08</t>
  </si>
  <si>
    <t xml:space="preserve">Gasto energia e tempo significativos do meu dia tentando resolver pendências operacionais ou financeiras de permanência (como transporte, alimentação, bolsas ou acessibilidade).</t>
  </si>
  <si>
    <t xml:space="preserve">D2-02</t>
  </si>
  <si>
    <t xml:space="preserve">Consumo boa parte do meu dia e da minha energia lidando com a correria para me manter no trabalho, resolvendo problemas com transporte, alimentação e o dinheiro do mês.</t>
  </si>
  <si>
    <t xml:space="preserve">D2-03</t>
  </si>
  <si>
    <t xml:space="preserve">B09</t>
  </si>
  <si>
    <t xml:space="preserve">Sinto-me exausto(a) mentalmente por ter que negociar ou cobrar repetidamente por adaptações ou direitos básicos para conseguir estudar/trabalhar.</t>
  </si>
  <si>
    <t xml:space="preserve">D2-04</t>
  </si>
  <si>
    <t xml:space="preserve">Sinto-me exausto(a) mentalmente por ter que negociar ou cobrar repetidamente por adaptações ou direitos básicos para conseguir trabalhar.</t>
  </si>
  <si>
    <t xml:space="preserve">D2-05</t>
  </si>
  <si>
    <t xml:space="preserve">B10</t>
  </si>
  <si>
    <t xml:space="preserve">Deixo de participar de atividades acadêmicas ou de lazer no campus por falta de recursos financeiros ou por barreiras de acessibilidade.</t>
  </si>
  <si>
    <t xml:space="preserve">D2-06</t>
  </si>
  <si>
    <t xml:space="preserve">Deixo de ir a eventos, momentos de descanso ou atividades no trabalho por falta de dinheiro ou por dificuldade para me deslocar.</t>
  </si>
  <si>
    <t xml:space="preserve">D2-07</t>
  </si>
  <si>
    <t xml:space="preserve">B11</t>
  </si>
  <si>
    <t xml:space="preserve">Tenho dificuldades para dormir ou relaxar devido à preocupação constante com a minha continuidade na universidade.</t>
  </si>
  <si>
    <t xml:space="preserve">D2-08</t>
  </si>
  <si>
    <t xml:space="preserve">v3, v4</t>
  </si>
  <si>
    <t xml:space="preserve">Tenho dificuldades para dormir ou relaxar devido à preocupação constante com a minha continuidade no trabalho.</t>
  </si>
  <si>
    <t xml:space="preserve">D2-09</t>
  </si>
  <si>
    <t xml:space="preserve">Tenho dificuldades para dormir ou relaxar devido à preocupação constante com a minha continuidade acadêmica ou por medo de ser demitida.</t>
  </si>
  <si>
    <t xml:space="preserve">D2-10</t>
  </si>
  <si>
    <t xml:space="preserve">B12</t>
  </si>
  <si>
    <t xml:space="preserve">Sinto que o desgaste para superar as barreiras de infraestrutura ou rotina da universidade prejudica minha saúde física ou mental.</t>
  </si>
  <si>
    <t xml:space="preserve">D2-11</t>
  </si>
  <si>
    <t xml:space="preserve">Sinto que o desgaste para superar as barreiras de infraestrutura ou rotina do trabalho prejudica minha saúde física ou mental.</t>
  </si>
  <si>
    <t xml:space="preserve">D2-12</t>
  </si>
  <si>
    <t xml:space="preserve">B13</t>
  </si>
  <si>
    <t xml:space="preserve">Sinto-me fisicamente e mentalmente exausto(a) no final do dia devido ao esforço de locomoção ou falta de acessibilidade adequada no campus.</t>
  </si>
  <si>
    <t xml:space="preserve">D2-13</t>
  </si>
  <si>
    <t xml:space="preserve">Sinto-me fisicamente e mentalmente exausto(a) no final do dia devido ao esforço de locomoção ou falta de acesso adequado no trabalho.</t>
  </si>
  <si>
    <t xml:space="preserve">D2-14</t>
  </si>
  <si>
    <t xml:space="preserve">Sinto-me fisicamente e mentalmente exausto(a) no final do dia devido ao esforço de locomoção ou falta de acessibilidade adequada no trabalho.</t>
  </si>
  <si>
    <t xml:space="preserve">D2-15</t>
  </si>
  <si>
    <t xml:space="preserve">B14</t>
  </si>
  <si>
    <t xml:space="preserve">Preciso abdicar de momentos de descanso ou lazer para dar conta das exigências da universidade juntas com minhas responsabilidades financeiras/familiares.</t>
  </si>
  <si>
    <t xml:space="preserve">D2-16</t>
  </si>
  <si>
    <t xml:space="preserve">Preciso abdicar de momentos de descanso ou lazer para dar conta das exigências do trabalho junto com minhas responsabilidades financeiras/familiares.</t>
  </si>
  <si>
    <t xml:space="preserve">D2-17</t>
  </si>
  <si>
    <t xml:space="preserve">Preciso abrir mão de momentos de descanso e lazer para cumprir minhas responsabilidades relacionadas ao trabalho.</t>
  </si>
  <si>
    <t xml:space="preserve">D2-18</t>
  </si>
  <si>
    <t xml:space="preserve">Me sinto frustrado(a) em relação a quantidade excessiva de tempo em que me dedico às atividades do meu trabalho.</t>
  </si>
  <si>
    <t xml:space="preserve">D2-19</t>
  </si>
  <si>
    <t xml:space="preserve">Tenho acesso aos recursos materiais necessários para realização das minhas atividades profissionais (EPIs, materiais de limpeza, computadores, mantimentos, ou demais ferramentas ligadas ao exercício da função).</t>
  </si>
  <si>
    <t xml:space="preserve">D2-20</t>
  </si>
  <si>
    <t xml:space="preserve">A quantidade de funcionários é suficiente para que tudo funcione bem.</t>
  </si>
  <si>
    <t xml:space="preserve">D2-21</t>
  </si>
  <si>
    <t xml:space="preserve">Dedico tempo e energia significativos para gerenciar o deslocamento diário e a logística de acesso ao meu local de trabalho no campus.</t>
  </si>
  <si>
    <t xml:space="preserve">D2-22</t>
  </si>
  <si>
    <t xml:space="preserve">Necessito realizar solicitações recorrentes para obter insumos, equipamentos ou condições físicas adequadas para a execução das minhas tarefas.</t>
  </si>
  <si>
    <t xml:space="preserve">D2-23</t>
  </si>
  <si>
    <t xml:space="preserve">Encontro barreiras físicas, arquitetônicas ou de infraestrutura ao me deslocar e utilizar os espaços do campus no cotidiano laboral.</t>
  </si>
  <si>
    <t xml:space="preserve">D2-24</t>
  </si>
  <si>
    <t xml:space="preserve">Enfrento processos burocráticos ou fluxos administrativos complexos para viabilizar as rotinas de trabalho do meu setor.</t>
  </si>
  <si>
    <t xml:space="preserve">D2-25</t>
  </si>
  <si>
    <t xml:space="preserve">Percebo que as condições físicas e ergonômicas do meu posto de trabalho exigem esforço físico compensatório ao longo da jornada.</t>
  </si>
  <si>
    <t xml:space="preserve">D2-26</t>
  </si>
  <si>
    <t xml:space="preserve">Encontro limitações no acesso claro e ágil às informações e sistemas necessários para o cumprimento das minhas atribuições.</t>
  </si>
  <si>
    <t xml:space="preserve">D2-27</t>
  </si>
  <si>
    <t xml:space="preserve">Necessito reorganizar frequentemente minhas rotinas pessoais ou familiares para responder às exigências operacionais e de horário do setor.</t>
  </si>
  <si>
    <t xml:space="preserve">D2-28</t>
  </si>
  <si>
    <t xml:space="preserve">Enfrento limitações decorrentes da falta de manutenção preventiva ou corretiva nos ambientes físicos e equipamentos do meu setor.</t>
  </si>
  <si>
    <t xml:space="preserve">D2-29</t>
  </si>
  <si>
    <t xml:space="preserve">Necessito adaptar a execução das minhas tarefas devido a má infraestrutura tecnológica, de rede ou de sistemas no campus.</t>
  </si>
  <si>
    <t xml:space="preserve">D2-30</t>
  </si>
  <si>
    <t xml:space="preserve">Preciso reorganizar minha rotina para lidar com imprevistos relacionados ao deslocamento até a instituição.</t>
  </si>
  <si>
    <t xml:space="preserve">D2-31</t>
  </si>
  <si>
    <t xml:space="preserve">As exigências da minha rotina deixam pouco tempo disponível para descansar entre um dia e outro.</t>
  </si>
  <si>
    <t xml:space="preserve">D2-32</t>
  </si>
  <si>
    <t xml:space="preserve">Preciso dedicar esforço adicional para conciliar as exigências da instituição com minhas responsabilidades fora dela.</t>
  </si>
  <si>
    <t xml:space="preserve">D2-33</t>
  </si>
  <si>
    <t xml:space="preserve">Tenho mais tarefas do que consigo fazer dentro do meu horário.</t>
  </si>
  <si>
    <t xml:space="preserve">D2-34</t>
  </si>
  <si>
    <t xml:space="preserve">Não consigo concluir minhas tarefas por falta de materiais/equipamentos.</t>
  </si>
  <si>
    <t xml:space="preserve">D2-35</t>
  </si>
  <si>
    <t xml:space="preserve">Preciso recorrer a alternativas improvisadas para terminar minhas tarefas quando os materiais/equipamentos não estão disponíveis.</t>
  </si>
  <si>
    <t xml:space="preserve">D2-36</t>
  </si>
  <si>
    <t xml:space="preserve">Gasto muito tempo tentando entender as normas e comunicados da instituição que utilizam uma linguagem inacessível.</t>
  </si>
  <si>
    <t xml:space="preserve">D2-37</t>
  </si>
  <si>
    <t xml:space="preserve">Boatos sobre possíveis cortes de verba ou atrasos de pagamentos afetam minha capacidade de manter o foco nas atividades que preciso realizar.</t>
  </si>
  <si>
    <t xml:space="preserve">D2-38</t>
  </si>
  <si>
    <t xml:space="preserve">Sinto dores ou desconfortos físicos no corpo que associo ao esforço para realizar as tarefas e com a falta de equipamentos corretos.</t>
  </si>
  <si>
    <t xml:space="preserve">D3 — Agência Comunitária e Rede de Cuidado Solidário
Fatores de proteção e suporte social interpessoal no campus.</t>
  </si>
  <si>
    <t xml:space="preserve">D3-01</t>
  </si>
  <si>
    <t xml:space="preserve">B15</t>
  </si>
  <si>
    <t xml:space="preserve">Encontro apoio e acolhimento em colegas ou coletivos dentro do campus quando me sinto sobrecarregado(a).</t>
  </si>
  <si>
    <t xml:space="preserve">D3-02</t>
  </si>
  <si>
    <t xml:space="preserve">Encontro apoio e acolhimento em colegas, equipes ou coletivos no campus diante de situações de sobrecarga.</t>
  </si>
  <si>
    <t xml:space="preserve">D3-03</t>
  </si>
  <si>
    <t xml:space="preserve">Encontro apoio e acolhimento em colegas ou coletivos dentro do trabalho quando me sinto sobrecarregado(a).</t>
  </si>
  <si>
    <t xml:space="preserve">D3-04</t>
  </si>
  <si>
    <t xml:space="preserve">B16</t>
  </si>
  <si>
    <t xml:space="preserve">Consigo conversar abertamente com pessoas da universidade sobre as dificuldades que enfrento no meu dia a dia.</t>
  </si>
  <si>
    <t xml:space="preserve">D3-05</t>
  </si>
  <si>
    <t xml:space="preserve">Identifico abertura para conversar sobre as dificuldades do meu cotidiano com pessoas da comunidade universitária.</t>
  </si>
  <si>
    <t xml:space="preserve">D3-06</t>
  </si>
  <si>
    <t xml:space="preserve">B17</t>
  </si>
  <si>
    <t xml:space="preserve">Participo de espaços ou redes de apoio mútuo que me ajudam a manter a motivação para continuar na instituição.</t>
  </si>
  <si>
    <t xml:space="preserve">D3-07</t>
  </si>
  <si>
    <t xml:space="preserve">Participo de redes ou espaços de apoio mútuo que auxiliam na manutenção do engajamento com o trabalho.</t>
  </si>
  <si>
    <t xml:space="preserve">D3-08</t>
  </si>
  <si>
    <t xml:space="preserve">B18</t>
  </si>
  <si>
    <t xml:space="preserve">Sinto que minhas vivências e opiniões são acolhidas e respeitadas por pelo menos um grupo ou professor/supervisor no campus.</t>
  </si>
  <si>
    <t xml:space="preserve">D3-09</t>
  </si>
  <si>
    <t xml:space="preserve">Percebo que minhas vivências e opiniões são acolhidas e respeitadas por colegas ou lideranças no campus.</t>
  </si>
  <si>
    <t xml:space="preserve">D3-10</t>
  </si>
  <si>
    <t xml:space="preserve">Sinto que a minha opinião e a minha vida importam e são respeitadas por pelo menos algum grupo de trabalho ou por um supervisor aqui no local.</t>
  </si>
  <si>
    <t xml:space="preserve">D3-11</t>
  </si>
  <si>
    <t xml:space="preserve">B19</t>
  </si>
  <si>
    <t xml:space="preserve">v1, v4</t>
  </si>
  <si>
    <t xml:space="preserve">Recorro a amigos, colegas de trabalho ou grupos de convivência na faculdade para me reestruturar após momentos difíceis.</t>
  </si>
  <si>
    <t xml:space="preserve">D3-12</t>
  </si>
  <si>
    <t xml:space="preserve">Recorro a amigos, colegas ou grupos de convivência na instituição para reestruturação após momentos de desgaste.</t>
  </si>
  <si>
    <t xml:space="preserve">D3-13</t>
  </si>
  <si>
    <t xml:space="preserve">Recorro a amigos e colegas de trabalho para me reestruturar após momentos difíceis.</t>
  </si>
  <si>
    <t xml:space="preserve">D3-14</t>
  </si>
  <si>
    <t xml:space="preserve">Recorro a amigos, colegas de turma/trabalho ou grupos de convivência na faculdade para me reestruturar após momentos difíceis.</t>
  </si>
  <si>
    <t xml:space="preserve">D3-15</t>
  </si>
  <si>
    <t xml:space="preserve">B20</t>
  </si>
  <si>
    <t xml:space="preserve">Encontro no campus espaços comunitários ou de convivência que me fazem renovar as energias para continuar na universidade.</t>
  </si>
  <si>
    <t xml:space="preserve">D3-16</t>
  </si>
  <si>
    <t xml:space="preserve">Encontro no campus espaços comunitários ou de convivência que favorecem a renovação de energias na rotina diária.</t>
  </si>
  <si>
    <t xml:space="preserve">D3-17</t>
  </si>
  <si>
    <t xml:space="preserve">Acho que existem espaços de convivência e descanso no trabalho que me ajudam a recarregar as energias para continuar o serviço.</t>
  </si>
  <si>
    <t xml:space="preserve">D3-18</t>
  </si>
  <si>
    <t xml:space="preserve">B21</t>
  </si>
  <si>
    <t xml:space="preserve">Sei a quem recorrer dentro da faculdade quando vivencio uma situação de injustiça, preconceito ou violência institucional.</t>
  </si>
  <si>
    <t xml:space="preserve">D3-19</t>
  </si>
  <si>
    <t xml:space="preserve">Identifico canais ou pessoas de referência na instituição a quem recorrer diante de situações de injustiça ou violação de direitos.</t>
  </si>
  <si>
    <t xml:space="preserve">D3-20</t>
  </si>
  <si>
    <t xml:space="preserve">Sei a quem recorrer na instituição quando enfrento uma situação que considero injusta.</t>
  </si>
  <si>
    <t xml:space="preserve">D3-21</t>
  </si>
  <si>
    <t xml:space="preserve">Sei a quem recorrer dentro do trabalho quando vivencio uma situação de injustiça, preconceito ou violência institucional.</t>
  </si>
  <si>
    <t xml:space="preserve">D3-22</t>
  </si>
  <si>
    <t xml:space="preserve">Quando eu tenho um conflito com um colega de trabalho busco alguém que possa me ajudar a resolvê-lo.</t>
  </si>
  <si>
    <t xml:space="preserve">D3-23</t>
  </si>
  <si>
    <t xml:space="preserve">As pessoas demonstram boa vontade para resolver os problemas relacionados ao ambiente de trabalho.</t>
  </si>
  <si>
    <t xml:space="preserve">D3-24</t>
  </si>
  <si>
    <t xml:space="preserve">Eu me sinto apoiado e orientado pela equipe gestora no meu ambiente de trabalho (coordenadores, diretores, superior, líder, chefe, gerente, etc).</t>
  </si>
  <si>
    <t xml:space="preserve">D3-25</t>
  </si>
  <si>
    <t xml:space="preserve">Recebo orientações e alertas de colegas ou redes do campus sobre como navegar e prevenir situações de risco ou desgaste no ambiente universitário.</t>
  </si>
  <si>
    <t xml:space="preserve">D3-26</t>
  </si>
  <si>
    <t xml:space="preserve">Encontro abertura para estabelecer parcerias e pontes de apoio com profissionais de outros setores ou unidades do campus.</t>
  </si>
  <si>
    <t xml:space="preserve">D3-27</t>
  </si>
  <si>
    <t xml:space="preserve">Sinto que posso contar com a colaboração de outras pessoas da instituição para realizar atividades em conjunto.</t>
  </si>
  <si>
    <t xml:space="preserve">D3-28</t>
  </si>
  <si>
    <t xml:space="preserve">Recebo ajuda de colegas quando encontro dificuldades para realizar minhas atividades.</t>
  </si>
  <si>
    <t xml:space="preserve">D3-29</t>
  </si>
  <si>
    <t xml:space="preserve">Conheço os canais institucionais que posso procurar quando preciso de orientação ou apoio.</t>
  </si>
  <si>
    <t xml:space="preserve">D3-30</t>
  </si>
  <si>
    <t xml:space="preserve">Tento ajudar meus colegas quando termino minhas funções primeiro.</t>
  </si>
  <si>
    <t xml:space="preserve">D3-31</t>
  </si>
  <si>
    <t xml:space="preserve">O serviço é dividido igualmente entre eu e os meus colegas para que ninguém seja sobrecarregado.</t>
  </si>
  <si>
    <t xml:space="preserve">D3-32</t>
  </si>
  <si>
    <t xml:space="preserve">Quando enfrento um problema por falta de recursos, recorro aos meus colegas para que me auxiliem.</t>
  </si>
  <si>
    <t xml:space="preserve">D3-33</t>
  </si>
  <si>
    <t xml:space="preserve">Quando uma pessoa nova chega no campus, nos organizamos para orientá-lo sobre como lidar com as pressões e a rotina no campus.</t>
  </si>
  <si>
    <t xml:space="preserve">D3-34</t>
  </si>
  <si>
    <t xml:space="preserve">Sinto que meus colegas validam meus sentimentos e não me julgam quando expresso cansaço ou frustração com as condições do ambiente.</t>
  </si>
  <si>
    <t xml:space="preserve">D3-35</t>
  </si>
  <si>
    <t xml:space="preserve">Conseguimos nos reunir entre colegas para criar soluções conjuntas quanto as pressões que sofremos.</t>
  </si>
  <si>
    <t xml:space="preserve">D4 — Sentimento de Pertencimento e Desalienação do Espaço
Impacto existencial e relação de inclusão/exclusão do sujeito com a instituição.</t>
  </si>
  <si>
    <t xml:space="preserve">D4-01</t>
  </si>
  <si>
    <t xml:space="preserve">B22</t>
  </si>
  <si>
    <t xml:space="preserve">Sinto que a universidade é um lugar ao qual eu pertenço de fato.</t>
  </si>
  <si>
    <t xml:space="preserve">D4-02</t>
  </si>
  <si>
    <t xml:space="preserve">Percebo a universidade como um ambiente acolhedor e favorável para o desenvolvimento do meu trabalho.</t>
  </si>
  <si>
    <t xml:space="preserve">D4-03</t>
  </si>
  <si>
    <t xml:space="preserve">Sinto que a universidade é um lugar ao qual me sinto acolhida(o) e valorizada(o).</t>
  </si>
  <si>
    <t xml:space="preserve">D4-04</t>
  </si>
  <si>
    <t xml:space="preserve">Sinto que a universidade é um lugar ao qual eu pertenço de fato e me sinto bem.</t>
  </si>
  <si>
    <t xml:space="preserve">D4-05</t>
  </si>
  <si>
    <t xml:space="preserve">B23</t>
  </si>
  <si>
    <t xml:space="preserve">Percebo que o meu trabalho ou a minha presença como estudante contribui de forma significativa para a comunidade universitária.</t>
  </si>
  <si>
    <t xml:space="preserve">D4-06</t>
  </si>
  <si>
    <t xml:space="preserve">Identifico que o meu trabalho e a minha presença como colaborador são reconhecidos de forma significativa pela comunidade universitária.</t>
  </si>
  <si>
    <t xml:space="preserve">D4-07</t>
  </si>
  <si>
    <t xml:space="preserve">Percebo que o meu trabalho ou a minha presença contribuem de forma significativa para a comunidade universitária.</t>
  </si>
  <si>
    <t xml:space="preserve">D4-08</t>
  </si>
  <si>
    <t xml:space="preserve">Percebo que o meu trabalho contribui para a comunidade universitária.</t>
  </si>
  <si>
    <t xml:space="preserve">D4-09</t>
  </si>
  <si>
    <t xml:space="preserve">Percebo que o meu papel de funcionário ou de estudante contribui de forma significativa para a comunidade universitária.</t>
  </si>
  <si>
    <t xml:space="preserve">D4-10</t>
  </si>
  <si>
    <t xml:space="preserve">B24</t>
  </si>
  <si>
    <t xml:space="preserve">Sinto-me confortável para ocupar e utilizar os espaços físicos, culturais e de lazer do campus.</t>
  </si>
  <si>
    <t xml:space="preserve">D4-11</t>
  </si>
  <si>
    <t xml:space="preserve">Encontro facilidade para ocupar e utilizar os espaços físicos, culturais e de convivência do campus.</t>
  </si>
  <si>
    <t xml:space="preserve">D4-12</t>
  </si>
  <si>
    <t xml:space="preserve">Sinto-me confortável para ocupar e utilizar os espaços físicos, culturais e de lazer da instituição.</t>
  </si>
  <si>
    <t xml:space="preserve">D4-13</t>
  </si>
  <si>
    <t xml:space="preserve">B25</t>
  </si>
  <si>
    <t xml:space="preserve">Vejo a história, a cultura ou a realidade do meu grupo social representadas e valorizadas nas atividades da faculdade.</t>
  </si>
  <si>
    <t xml:space="preserve">D4-14</t>
  </si>
  <si>
    <t xml:space="preserve">Identifico a história, a cultura e a realidade do meu grupo social representadas e valorizadas nos ambientes da instituição.</t>
  </si>
  <si>
    <t xml:space="preserve">D4-15</t>
  </si>
  <si>
    <t xml:space="preserve">Percebo que minhas experiências e perspectivas são consideradas nas atividades da instituição.</t>
  </si>
  <si>
    <t xml:space="preserve">D4-16</t>
  </si>
  <si>
    <t xml:space="preserve">B26</t>
  </si>
  <si>
    <t xml:space="preserve">Sinto que tenho voz ativa e autonomia para me posicionar nos ambientes em que circulo na universidade.</t>
  </si>
  <si>
    <t xml:space="preserve">D4-17</t>
  </si>
  <si>
    <t xml:space="preserve">Percebo espaço para ter voz ativa e autonomia de posicionamento nos ambientes em que circulo na universidade.</t>
  </si>
  <si>
    <t xml:space="preserve">D4-18</t>
  </si>
  <si>
    <t xml:space="preserve">B27</t>
  </si>
  <si>
    <t xml:space="preserve">Sinto que posso expressar minha identidade, cultura e valores na universidade sem precisar me anular para ser aceito(a).</t>
  </si>
  <si>
    <t xml:space="preserve">D4-19</t>
  </si>
  <si>
    <t xml:space="preserve">Identifico liberdade para expressar minha identidade, cultura e valores na universidade sem necessidade de anulação pessoal.</t>
  </si>
  <si>
    <t xml:space="preserve">D4-20</t>
  </si>
  <si>
    <t xml:space="preserve">Sinto que não preciso modificar aspectos do meu comportamento para me sentir aceito(a) na instituição.</t>
  </si>
  <si>
    <t xml:space="preserve">D4-21</t>
  </si>
  <si>
    <t xml:space="preserve">B28</t>
  </si>
  <si>
    <t xml:space="preserve">Percebo que a universidade reconhece as especificidades da minha realidade e oferece condições para que eu permaneça nela com dignidade.</t>
  </si>
  <si>
    <t xml:space="preserve">D4-22</t>
  </si>
  <si>
    <t xml:space="preserve">Percebo que a universidade reconhece as especificidades da minha realidade e oferece condições para a minha permanência com dignidade.</t>
  </si>
  <si>
    <t xml:space="preserve">D4-23</t>
  </si>
  <si>
    <t xml:space="preserve">Percebo que o meu local de trabalho leva em conta as minhas necessidades e oferece o apoio necessário para eu me manter no emprego de forma justa.</t>
  </si>
  <si>
    <t xml:space="preserve">D4-24</t>
  </si>
  <si>
    <t xml:space="preserve">São realizadas assembleias ou encontros com os colaboradores para discutir as condições laborais e políticas da empresa.</t>
  </si>
  <si>
    <t xml:space="preserve">D4-25</t>
  </si>
  <si>
    <t xml:space="preserve">Eu sinto que a comunidade universitária como um todo valoriza o meu trabalho.</t>
  </si>
  <si>
    <t xml:space="preserve">D4-26</t>
  </si>
  <si>
    <t xml:space="preserve">Todos agem como se realmente se sentissem responsáveis pelo seu trabalho e fazem a sua parte.</t>
  </si>
  <si>
    <t xml:space="preserve">D4-27</t>
  </si>
  <si>
    <t xml:space="preserve">Visualizo possibilidades de progressão ou movimentação na minha trajetória profissional dentro da instituição a médio e longo prazo.</t>
  </si>
  <si>
    <t xml:space="preserve">D4-28</t>
  </si>
  <si>
    <t xml:space="preserve">Percebo que a remuneração recebida nesta ocupação é adequada para suprir minhas necessidades materiais de manutenção individual ou familiar.</t>
  </si>
  <si>
    <t xml:space="preserve">D4-29</t>
  </si>
  <si>
    <t xml:space="preserve">Percebo que minhas contribuições são consideradas nas decisões que afetam minhas atividades.</t>
  </si>
  <si>
    <t xml:space="preserve">D4-30</t>
  </si>
  <si>
    <t xml:space="preserve">Sinto-me à vontade para participar das atividades oferecidas pela instituição.</t>
  </si>
  <si>
    <t xml:space="preserve">D4-31</t>
  </si>
  <si>
    <t xml:space="preserve">Sinto que tenho oportunidades de participar das decisões relacionadas às atividades da instituição.</t>
  </si>
  <si>
    <t xml:space="preserve">D4-32</t>
  </si>
  <si>
    <t xml:space="preserve">Sinto olhares negativos sobre mim.</t>
  </si>
  <si>
    <t xml:space="preserve">D4-33</t>
  </si>
  <si>
    <t xml:space="preserve">Evito ter muito contato com pessoas que não sejam meus colegas de trabalho como forma de evitar desconforto.</t>
  </si>
  <si>
    <t xml:space="preserve">D4-34</t>
  </si>
  <si>
    <t xml:space="preserve">Penso recorrentemente em ir para casa quando estou no trabalho por não me sentir à vontade no ambiente.</t>
  </si>
  <si>
    <t xml:space="preserve">D4-35</t>
  </si>
  <si>
    <t xml:space="preserve">Me sinto à vontade para utilizar espaços como praças centrais, lanchonetes/refeitórios, bibliotecas que não são do meu prédio/setor.</t>
  </si>
  <si>
    <t xml:space="preserve">D4-36</t>
  </si>
  <si>
    <t xml:space="preserve">Percebo que minha função é tratada como uma parte essencial para a existência da universidade e não como algo descartável.</t>
  </si>
  <si>
    <t xml:space="preserve">D4-37</t>
  </si>
  <si>
    <t xml:space="preserve">Sinto que as pessoas com quem interajo no campus me reconhecem por quem eu sou, me chamam pelo meu nome ao invés de só me ver como uma extensão do papel que eu cumpro dentro da universidade.</t>
  </si>
  <si>
    <t xml:space="preserve">D5 — Saúde Mental (dimensão proposta só na v2)
RASCUNHO derivado dos itens (não consta nos documentos): condições de trabalho e suporte institucional para a preservação da saúde mental e do bem-estar do trabalhador.</t>
  </si>
  <si>
    <t xml:space="preserve">D5-01</t>
  </si>
  <si>
    <t xml:space="preserve">Identifico a existência de ações, programas ou canais formais de suporte à saúde mental e ao bem-estar promovidos pela universidade.</t>
  </si>
  <si>
    <t xml:space="preserve">D5-02</t>
  </si>
  <si>
    <t xml:space="preserve">Percebo que a cadência e a distribuição das tarefas no meu setor permitem a preservação da minha saúde mental ao longo da rotina de trabalho.</t>
  </si>
  <si>
    <t xml:space="preserve">D5-03</t>
  </si>
  <si>
    <t xml:space="preserve">Identifico a presença de pausas ou momentos de descompressão viáveis no decorrer da minha jornada de trabalho no campus.</t>
  </si>
  <si>
    <t xml:space="preserve">D5-04</t>
  </si>
  <si>
    <t xml:space="preserve">Encontro flexibilidade na rotina de trabalho para realizar e manter tratamentos ou acompanhamentos de saúde mental com profissionais externos.</t>
  </si>
  <si>
    <t xml:space="preserve">D5-05</t>
  </si>
  <si>
    <t xml:space="preserve">Percebo espaço de diálogo com a liderança ou chefia imediata para tratar de ajustes de demandas em períodos de maior desgaste emocional.</t>
  </si>
  <si>
    <t xml:space="preserve">D5-06</t>
  </si>
  <si>
    <t xml:space="preserve">Identifico receptividade e sensibilidade entre os colegas de setor em relação a situações de estresse ou vulnerabilidade vivenciadas no ambiente de trabalho.</t>
  </si>
  <si>
    <t xml:space="preserve">D5-07</t>
  </si>
  <si>
    <t xml:space="preserve">Consigo estabelecer fronteiras claras entre os compromissos do trabalho e os períodos de descanso e vida pessoal.</t>
  </si>
  <si>
    <t xml:space="preserve">D5-08</t>
  </si>
  <si>
    <t xml:space="preserve">Avalio que a estrutura de organização do meu trabalho atua de forma a prevenir o esgotamento físico e mental contínuo.</t>
  </si>
  <si>
    <t xml:space="preserve">D5-09</t>
  </si>
  <si>
    <t xml:space="preserve">Adoto rotineiramente práticas individuais direcionadas ao cuidado com a minha saúde física e mental no cotidiano.</t>
  </si>
  <si>
    <t xml:space="preserve">Resumo do CVC por dimensão</t>
  </si>
  <si>
    <t xml:space="preserve">Manter</t>
  </si>
  <si>
    <t xml:space="preserve">Revisar</t>
  </si>
  <si>
    <t xml:space="preserve">Descartar</t>
  </si>
  <si>
    <t xml:space="preserve">Itens únicos por dimensão e versão de origem (um item idêntico em várias versões conta em cada uma)</t>
  </si>
  <si>
    <t xml:space="preserve">Conferência: os totais por versão (41, 44, 40, 40, 40) batem com o arquivo build_corpus_correction.py.</t>
  </si>
</sst>
</file>

<file path=xl/styles.xml><?xml version="1.0" encoding="utf-8"?>
<styleSheet xmlns="http://schemas.openxmlformats.org/spreadsheetml/2006/main">
  <numFmts count="6">
    <numFmt numFmtId="164" formatCode="General"/>
    <numFmt numFmtId="165" formatCode="0.00000"/>
    <numFmt numFmtId="166" formatCode="0.00"/>
    <numFmt numFmtId="167" formatCode="0.0000"/>
    <numFmt numFmtId="168" formatCode="0"/>
    <numFmt numFmtId="169" formatCode="General"/>
  </numFmts>
  <fonts count="36">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FFFFFF"/>
      <name val="Arial"/>
      <family val="0"/>
      <charset val="1"/>
    </font>
    <font>
      <b val="true"/>
      <sz val="10"/>
      <name val="Arial"/>
      <family val="0"/>
      <charset val="1"/>
    </font>
    <font>
      <b val="true"/>
      <sz val="11"/>
      <color rgb="FF0000FF"/>
      <name val="Arial"/>
      <family val="0"/>
      <charset val="1"/>
    </font>
    <font>
      <sz val="10"/>
      <color rgb="FF404040"/>
      <name val="Arial"/>
      <family val="0"/>
      <charset val="1"/>
    </font>
    <font>
      <sz val="11"/>
      <color rgb="FF404040"/>
      <name val="Arial"/>
      <family val="0"/>
      <charset val="1"/>
    </font>
    <font>
      <b val="true"/>
      <sz val="11"/>
      <color rgb="FF1F3864"/>
      <name val="Arial"/>
      <family val="0"/>
      <charset val="1"/>
    </font>
    <font>
      <sz val="10"/>
      <name val="Arial"/>
      <family val="0"/>
      <charset val="1"/>
    </font>
    <font>
      <sz val="10"/>
      <color rgb="FF0000FF"/>
      <name val="Arial"/>
      <family val="0"/>
      <charset val="1"/>
    </font>
    <font>
      <sz val="10"/>
      <color rgb="FF595959"/>
      <name val="Arial"/>
      <family val="0"/>
      <charset val="1"/>
    </font>
    <font>
      <sz val="10"/>
      <color rgb="FF008000"/>
      <name val="Arial"/>
      <family val="0"/>
      <charset val="1"/>
    </font>
    <font>
      <b val="true"/>
      <sz val="10"/>
      <color rgb="FF008000"/>
      <name val="Arial"/>
      <family val="0"/>
      <charset val="1"/>
    </font>
    <font>
      <b val="true"/>
      <sz val="10"/>
      <color rgb="FF1F3864"/>
      <name val="Arial"/>
      <family val="0"/>
      <charset val="1"/>
    </font>
    <font>
      <b val="true"/>
      <sz val="11"/>
      <color rgb="FF2F5496"/>
      <name val="Arial"/>
      <family val="0"/>
      <charset val="1"/>
    </font>
    <font>
      <b val="true"/>
      <sz val="11"/>
      <color rgb="FF548235"/>
      <name val="Arial"/>
      <family val="0"/>
      <charset val="1"/>
    </font>
    <font>
      <b val="true"/>
      <sz val="11"/>
      <color rgb="FFC55A11"/>
      <name val="Arial"/>
      <family val="0"/>
      <charset val="1"/>
    </font>
    <font>
      <b val="true"/>
      <sz val="11"/>
      <color rgb="FF7030A0"/>
      <name val="Arial"/>
      <family val="0"/>
      <charset val="1"/>
    </font>
    <font>
      <b val="true"/>
      <sz val="11"/>
      <color rgb="FF7F7F7F"/>
      <name val="Arial"/>
      <family val="0"/>
      <charset val="1"/>
    </font>
    <font>
      <b val="true"/>
      <sz val="10"/>
      <color rgb="FF2F5496"/>
      <name val="Arial"/>
      <family val="0"/>
      <charset val="1"/>
    </font>
    <font>
      <b val="true"/>
      <sz val="9"/>
      <color rgb="FF595959"/>
      <name val="Arial"/>
      <family val="0"/>
      <charset val="1"/>
    </font>
    <font>
      <sz val="9"/>
      <color rgb="FF595959"/>
      <name val="Arial"/>
      <family val="0"/>
      <charset val="1"/>
    </font>
    <font>
      <sz val="11"/>
      <name val="Arial"/>
      <family val="0"/>
      <charset val="1"/>
    </font>
    <font>
      <b val="true"/>
      <sz val="10"/>
      <color rgb="FF262626"/>
      <name val="Arial"/>
      <family val="0"/>
      <charset val="1"/>
    </font>
    <font>
      <i val="true"/>
      <sz val="9"/>
      <color rgb="FF595959"/>
      <name val="Arial"/>
      <family val="0"/>
      <charset val="1"/>
    </font>
    <font>
      <b val="true"/>
      <sz val="10"/>
      <color rgb="FF548235"/>
      <name val="Arial"/>
      <family val="0"/>
      <charset val="1"/>
    </font>
    <font>
      <b val="true"/>
      <sz val="10"/>
      <color rgb="FFC55A11"/>
      <name val="Arial"/>
      <family val="0"/>
      <charset val="1"/>
    </font>
    <font>
      <b val="true"/>
      <sz val="10"/>
      <color rgb="FF7030A0"/>
      <name val="Arial"/>
      <family val="0"/>
      <charset val="1"/>
    </font>
    <font>
      <b val="true"/>
      <sz val="10"/>
      <color rgb="FF7F7F7F"/>
      <name val="Arial"/>
      <family val="0"/>
      <charset val="1"/>
    </font>
    <font>
      <b val="true"/>
      <sz val="10"/>
      <color rgb="FF006100"/>
      <name val="Arial"/>
      <family val="0"/>
      <charset val="1"/>
    </font>
    <font>
      <b val="true"/>
      <sz val="10"/>
      <color rgb="FF7F6000"/>
      <name val="Arial"/>
      <family val="0"/>
      <charset val="1"/>
    </font>
    <font>
      <b val="true"/>
      <sz val="10"/>
      <color rgb="FF9C0006"/>
      <name val="Arial"/>
      <family val="0"/>
      <charset val="1"/>
    </font>
  </fonts>
  <fills count="20">
    <fill>
      <patternFill patternType="none"/>
    </fill>
    <fill>
      <patternFill patternType="gray125"/>
    </fill>
    <fill>
      <patternFill patternType="solid">
        <fgColor rgb="FF1F3864"/>
        <bgColor rgb="FF404040"/>
      </patternFill>
    </fill>
    <fill>
      <patternFill patternType="solid">
        <fgColor rgb="FFFFF2CC"/>
        <bgColor rgb="FFFCE4D6"/>
      </patternFill>
    </fill>
    <fill>
      <patternFill patternType="solid">
        <fgColor rgb="FFF2F2F2"/>
        <bgColor rgb="FFF4F7FB"/>
      </patternFill>
    </fill>
    <fill>
      <patternFill patternType="solid">
        <fgColor rgb="FFD9E2F3"/>
        <bgColor rgb="FFDCE6F1"/>
      </patternFill>
    </fill>
    <fill>
      <patternFill patternType="solid">
        <fgColor rgb="FF2F5496"/>
        <bgColor rgb="FF2E75B6"/>
      </patternFill>
    </fill>
    <fill>
      <patternFill patternType="solid">
        <fgColor rgb="FF4472C4"/>
        <bgColor rgb="FF2E75B6"/>
      </patternFill>
    </fill>
    <fill>
      <patternFill patternType="solid">
        <fgColor rgb="FFF4F7FB"/>
        <bgColor rgb="FFF2F2F2"/>
      </patternFill>
    </fill>
    <fill>
      <patternFill patternType="solid">
        <fgColor rgb="FFDCE6F1"/>
        <bgColor rgb="FFD9E2F3"/>
      </patternFill>
    </fill>
    <fill>
      <patternFill patternType="solid">
        <fgColor rgb="FFE2EFDA"/>
        <bgColor rgb="FFEDEDED"/>
      </patternFill>
    </fill>
    <fill>
      <patternFill patternType="solid">
        <fgColor rgb="FFFCE4D6"/>
        <bgColor rgb="FFFFF2CC"/>
      </patternFill>
    </fill>
    <fill>
      <patternFill patternType="solid">
        <fgColor rgb="FFE4DFEC"/>
        <bgColor rgb="FFE3E3E3"/>
      </patternFill>
    </fill>
    <fill>
      <patternFill patternType="solid">
        <fgColor rgb="FFEDEDED"/>
        <bgColor rgb="FFF2F2F2"/>
      </patternFill>
    </fill>
    <fill>
      <patternFill patternType="solid">
        <fgColor rgb="FF595959"/>
        <bgColor rgb="FF404040"/>
      </patternFill>
    </fill>
    <fill>
      <patternFill patternType="solid">
        <fgColor rgb="FF375623"/>
        <bgColor rgb="FF404040"/>
      </patternFill>
    </fill>
    <fill>
      <patternFill patternType="solid">
        <fgColor rgb="FFFFFFFF"/>
        <bgColor rgb="FFF4F7FB"/>
      </patternFill>
    </fill>
    <fill>
      <patternFill patternType="solid">
        <fgColor rgb="FFC6EFCE"/>
        <bgColor rgb="FFE2EFDA"/>
      </patternFill>
    </fill>
    <fill>
      <patternFill patternType="solid">
        <fgColor rgb="FFFFEB9C"/>
        <bgColor rgb="FFFFD9A8"/>
      </patternFill>
    </fill>
    <fill>
      <patternFill patternType="solid">
        <fgColor rgb="FFFFC7CE"/>
        <bgColor rgb="FFFFD9A8"/>
      </patternFill>
    </fill>
  </fills>
  <borders count="65">
    <border diagonalUp="false" diagonalDown="false">
      <left/>
      <right/>
      <top/>
      <bottom/>
      <diagonal/>
    </border>
    <border diagonalUp="false" diagonalDown="false">
      <left style="thin">
        <color rgb="FF1F3864"/>
      </left>
      <right style="thin">
        <color rgb="FF1F3864"/>
      </right>
      <top style="thin">
        <color rgb="FF1F3864"/>
      </top>
      <bottom style="thin">
        <color rgb="FF1F3864"/>
      </bottom>
      <diagonal/>
    </border>
    <border diagonalUp="false" diagonalDown="false">
      <left style="thin">
        <color rgb="FFD0D0D0"/>
      </left>
      <right style="thin">
        <color rgb="FFD0D0D0"/>
      </right>
      <top style="thin">
        <color rgb="FFD0D0D0"/>
      </top>
      <bottom style="thin">
        <color rgb="FFD0D0D0"/>
      </bottom>
      <diagonal/>
    </border>
    <border diagonalUp="false" diagonalDown="false">
      <left style="thick">
        <color rgb="FF1F3864"/>
      </left>
      <right/>
      <top/>
      <bottom/>
      <diagonal/>
    </border>
    <border diagonalUp="false" diagonalDown="false">
      <left style="thin">
        <color rgb="FF2F5496"/>
      </left>
      <right style="thin">
        <color rgb="FF2F5496"/>
      </right>
      <top style="thin">
        <color rgb="FF2F5496"/>
      </top>
      <bottom style="thin">
        <color rgb="FF2F5496"/>
      </bottom>
      <diagonal/>
    </border>
    <border diagonalUp="false" diagonalDown="false">
      <left style="thin">
        <color rgb="FF4472C4"/>
      </left>
      <right style="thin">
        <color rgb="FF4472C4"/>
      </right>
      <top style="thin">
        <color rgb="FF4472C4"/>
      </top>
      <bottom style="thin">
        <color rgb="FF4472C4"/>
      </bottom>
      <diagonal/>
    </border>
    <border diagonalUp="false" diagonalDown="false">
      <left style="thick">
        <color rgb="FF2F5496"/>
      </left>
      <right style="thin">
        <color rgb="FFD0D0D0"/>
      </right>
      <top style="thin">
        <color rgb="FFD0D0D0"/>
      </top>
      <bottom style="thin">
        <color rgb="FFD0D0D0"/>
      </bottom>
      <diagonal/>
    </border>
    <border diagonalUp="false" diagonalDown="false">
      <left style="thick">
        <color rgb="FF548235"/>
      </left>
      <right style="thin">
        <color rgb="FFD0D0D0"/>
      </right>
      <top style="thin">
        <color rgb="FFD0D0D0"/>
      </top>
      <bottom style="thin">
        <color rgb="FFD0D0D0"/>
      </bottom>
      <diagonal/>
    </border>
    <border diagonalUp="false" diagonalDown="false">
      <left style="thick">
        <color rgb="FFC55A11"/>
      </left>
      <right style="thin">
        <color rgb="FFD0D0D0"/>
      </right>
      <top style="thin">
        <color rgb="FFD0D0D0"/>
      </top>
      <bottom style="thin">
        <color rgb="FFD0D0D0"/>
      </bottom>
      <diagonal/>
    </border>
    <border diagonalUp="false" diagonalDown="false">
      <left style="thick">
        <color rgb="FF7030A0"/>
      </left>
      <right style="thin">
        <color rgb="FFD0D0D0"/>
      </right>
      <top style="thin">
        <color rgb="FFD0D0D0"/>
      </top>
      <bottom style="thin">
        <color rgb="FFD0D0D0"/>
      </bottom>
      <diagonal/>
    </border>
    <border diagonalUp="false" diagonalDown="false">
      <left style="thick">
        <color rgb="FF7F7F7F"/>
      </left>
      <right style="thin">
        <color rgb="FFD0D0D0"/>
      </right>
      <top style="thin">
        <color rgb="FFD0D0D0"/>
      </top>
      <bottom style="thin">
        <color rgb="FFD0D0D0"/>
      </bottom>
      <diagonal/>
    </border>
    <border diagonalUp="false" diagonalDown="false">
      <left/>
      <right/>
      <top style="medium">
        <color rgb="FF1F3864"/>
      </top>
      <bottom style="thin">
        <color rgb="FFD0D0D0"/>
      </bottom>
      <diagonal/>
    </border>
    <border diagonalUp="false" diagonalDown="false">
      <left style="medium">
        <color rgb="FF7F7F7F"/>
      </left>
      <right style="thin">
        <color rgb="FF1F3864"/>
      </right>
      <top style="thin">
        <color rgb="FF1F3864"/>
      </top>
      <bottom style="thin">
        <color rgb="FF1F3864"/>
      </bottom>
      <diagonal/>
    </border>
    <border diagonalUp="false" diagonalDown="false">
      <left style="medium">
        <color rgb="FF7F7F7F"/>
      </left>
      <right style="thin">
        <color rgb="FF2F5496"/>
      </right>
      <top style="thin">
        <color rgb="FF2F5496"/>
      </top>
      <bottom style="thin">
        <color rgb="FF2F5496"/>
      </bottom>
      <diagonal/>
    </border>
    <border diagonalUp="false" diagonalDown="false">
      <left style="medium">
        <color rgb="FF7F7F7F"/>
      </left>
      <right style="thin">
        <color rgb="FF4472C4"/>
      </right>
      <top style="thin">
        <color rgb="FF4472C4"/>
      </top>
      <bottom style="thin">
        <color rgb="FF4472C4"/>
      </bottom>
      <diagonal/>
    </border>
    <border diagonalUp="false" diagonalDown="false">
      <left style="medium">
        <color rgb="FF7F7F7F"/>
      </left>
      <right style="thin">
        <color rgb="FF595959"/>
      </right>
      <top style="thin">
        <color rgb="FF595959"/>
      </top>
      <bottom style="thin">
        <color rgb="FF595959"/>
      </bottom>
      <diagonal/>
    </border>
    <border diagonalUp="false" diagonalDown="false">
      <left style="thin">
        <color rgb="FF595959"/>
      </left>
      <right style="thin">
        <color rgb="FF595959"/>
      </right>
      <top style="thin">
        <color rgb="FF595959"/>
      </top>
      <bottom style="thin">
        <color rgb="FF595959"/>
      </bottom>
      <diagonal/>
    </border>
    <border diagonalUp="false" diagonalDown="false">
      <left style="medium">
        <color rgb="FF7F7F7F"/>
      </left>
      <right style="thin">
        <color rgb="FF375623"/>
      </right>
      <top style="thin">
        <color rgb="FF375623"/>
      </top>
      <bottom style="thin">
        <color rgb="FF375623"/>
      </bottom>
      <diagonal/>
    </border>
    <border diagonalUp="false" diagonalDown="false">
      <left style="medium">
        <color rgb="FF7F7F7F"/>
      </left>
      <right style="thin">
        <color rgb="FFD9E2F3"/>
      </right>
      <top style="thin">
        <color rgb="FFD9E2F3"/>
      </top>
      <bottom style="thin">
        <color rgb="FFD9E2F3"/>
      </bottom>
      <diagonal/>
    </border>
    <border diagonalUp="false" diagonalDown="false">
      <left style="thin">
        <color rgb="FFD9E2F3"/>
      </left>
      <right style="thin">
        <color rgb="FFD9E2F3"/>
      </right>
      <top style="thin">
        <color rgb="FFD9E2F3"/>
      </top>
      <bottom style="thin">
        <color rgb="FFD9E2F3"/>
      </bottom>
      <diagonal/>
    </border>
    <border diagonalUp="false" diagonalDown="false">
      <left style="thin">
        <color rgb="FFD9E2F3"/>
      </left>
      <right style="medium">
        <color rgb="FF7F7F7F"/>
      </right>
      <top style="thin">
        <color rgb="FFD9E2F3"/>
      </top>
      <bottom style="thin">
        <color rgb="FFD9E2F3"/>
      </bottom>
      <diagonal/>
    </border>
    <border diagonalUp="false" diagonalDown="false">
      <left style="thick">
        <color rgb="FF2F5496"/>
      </left>
      <right/>
      <top style="medium">
        <color rgb="FF2F5496"/>
      </top>
      <bottom style="thin">
        <color rgb="FF2F5496"/>
      </bottom>
      <diagonal/>
    </border>
    <border diagonalUp="false" diagonalDown="false">
      <left/>
      <right/>
      <top style="medium">
        <color rgb="FF2F5496"/>
      </top>
      <bottom style="thin">
        <color rgb="FF2F5496"/>
      </bottom>
      <diagonal/>
    </border>
    <border diagonalUp="false" diagonalDown="false">
      <left style="medium">
        <color rgb="FF7F7F7F"/>
      </left>
      <right/>
      <top style="medium">
        <color rgb="FF2F5496"/>
      </top>
      <bottom style="thin">
        <color rgb="FF2F5496"/>
      </bottom>
      <diagonal/>
    </border>
    <border diagonalUp="false" diagonalDown="false">
      <left/>
      <right style="medium">
        <color rgb="FF7F7F7F"/>
      </right>
      <top style="medium">
        <color rgb="FF2F5496"/>
      </top>
      <bottom style="thin">
        <color rgb="FF2F5496"/>
      </bottom>
      <diagonal/>
    </border>
    <border diagonalUp="false" diagonalDown="false">
      <left style="thick">
        <color rgb="FF2F5496"/>
      </left>
      <right style="thin">
        <color rgb="FFD0D0D0"/>
      </right>
      <top style="thin">
        <color rgb="FF7F7F7F"/>
      </top>
      <bottom style="hair">
        <color rgb="FFE3E3E3"/>
      </bottom>
      <diagonal/>
    </border>
    <border diagonalUp="false" diagonalDown="false">
      <left style="thin">
        <color rgb="FFD0D0D0"/>
      </left>
      <right style="thin">
        <color rgb="FFD0D0D0"/>
      </right>
      <top style="thin">
        <color rgb="FF7F7F7F"/>
      </top>
      <bottom style="hair">
        <color rgb="FFE3E3E3"/>
      </bottom>
      <diagonal/>
    </border>
    <border diagonalUp="false" diagonalDown="false">
      <left style="medium">
        <color rgb="FF7F7F7F"/>
      </left>
      <right style="thin">
        <color rgb="FFE6D9A8"/>
      </right>
      <top style="thin">
        <color rgb="FF7F7F7F"/>
      </top>
      <bottom style="thin">
        <color rgb="FFE6D9A8"/>
      </bottom>
      <diagonal/>
    </border>
    <border diagonalUp="false" diagonalDown="false">
      <left style="thin">
        <color rgb="FFE6D9A8"/>
      </left>
      <right style="thin">
        <color rgb="FFE6D9A8"/>
      </right>
      <top style="thin">
        <color rgb="FF7F7F7F"/>
      </top>
      <bottom style="thin">
        <color rgb="FFE6D9A8"/>
      </bottom>
      <diagonal/>
    </border>
    <border diagonalUp="false" diagonalDown="false">
      <left style="thin">
        <color rgb="FFE6D9A8"/>
      </left>
      <right style="medium">
        <color rgb="FF7F7F7F"/>
      </right>
      <top style="thin">
        <color rgb="FF7F7F7F"/>
      </top>
      <bottom style="thin">
        <color rgb="FFE6D9A8"/>
      </bottom>
      <diagonal/>
    </border>
    <border diagonalUp="false" diagonalDown="false">
      <left style="medium">
        <color rgb="FF7F7F7F"/>
      </left>
      <right style="thin">
        <color rgb="FFD0D0D0"/>
      </right>
      <top style="thin">
        <color rgb="FF7F7F7F"/>
      </top>
      <bottom style="hair">
        <color rgb="FFE3E3E3"/>
      </bottom>
      <diagonal/>
    </border>
    <border diagonalUp="false" diagonalDown="false">
      <left style="thick">
        <color rgb="FF2F5496"/>
      </left>
      <right style="thin">
        <color rgb="FFD0D0D0"/>
      </right>
      <top style="hair">
        <color rgb="FFE3E3E3"/>
      </top>
      <bottom style="hair">
        <color rgb="FFE3E3E3"/>
      </bottom>
      <diagonal/>
    </border>
    <border diagonalUp="false" diagonalDown="false">
      <left style="thin">
        <color rgb="FFD0D0D0"/>
      </left>
      <right style="thin">
        <color rgb="FFD0D0D0"/>
      </right>
      <top style="hair">
        <color rgb="FFE3E3E3"/>
      </top>
      <bottom style="hair">
        <color rgb="FFE3E3E3"/>
      </bottom>
      <diagonal/>
    </border>
    <border diagonalUp="false" diagonalDown="false">
      <left style="medium">
        <color rgb="FF7F7F7F"/>
      </left>
      <right style="thin">
        <color rgb="FFE6D9A8"/>
      </right>
      <top style="hair">
        <color rgb="FFE3E3E3"/>
      </top>
      <bottom style="thin">
        <color rgb="FFE6D9A8"/>
      </bottom>
      <diagonal/>
    </border>
    <border diagonalUp="false" diagonalDown="false">
      <left style="thin">
        <color rgb="FFE6D9A8"/>
      </left>
      <right style="thin">
        <color rgb="FFE6D9A8"/>
      </right>
      <top style="hair">
        <color rgb="FFE3E3E3"/>
      </top>
      <bottom style="thin">
        <color rgb="FFE6D9A8"/>
      </bottom>
      <diagonal/>
    </border>
    <border diagonalUp="false" diagonalDown="false">
      <left style="thin">
        <color rgb="FFE6D9A8"/>
      </left>
      <right style="medium">
        <color rgb="FF7F7F7F"/>
      </right>
      <top style="hair">
        <color rgb="FFE3E3E3"/>
      </top>
      <bottom style="thin">
        <color rgb="FFE6D9A8"/>
      </bottom>
      <diagonal/>
    </border>
    <border diagonalUp="false" diagonalDown="false">
      <left style="medium">
        <color rgb="FF7F7F7F"/>
      </left>
      <right style="thin">
        <color rgb="FFD0D0D0"/>
      </right>
      <top style="hair">
        <color rgb="FFE3E3E3"/>
      </top>
      <bottom style="hair">
        <color rgb="FFE3E3E3"/>
      </bottom>
      <diagonal/>
    </border>
    <border diagonalUp="false" diagonalDown="false">
      <left style="thick">
        <color rgb="FF548235"/>
      </left>
      <right/>
      <top style="medium">
        <color rgb="FF548235"/>
      </top>
      <bottom style="thin">
        <color rgb="FF548235"/>
      </bottom>
      <diagonal/>
    </border>
    <border diagonalUp="false" diagonalDown="false">
      <left/>
      <right/>
      <top style="medium">
        <color rgb="FF548235"/>
      </top>
      <bottom style="thin">
        <color rgb="FF548235"/>
      </bottom>
      <diagonal/>
    </border>
    <border diagonalUp="false" diagonalDown="false">
      <left style="medium">
        <color rgb="FF7F7F7F"/>
      </left>
      <right/>
      <top style="medium">
        <color rgb="FF548235"/>
      </top>
      <bottom style="thin">
        <color rgb="FF548235"/>
      </bottom>
      <diagonal/>
    </border>
    <border diagonalUp="false" diagonalDown="false">
      <left/>
      <right style="medium">
        <color rgb="FF7F7F7F"/>
      </right>
      <top style="medium">
        <color rgb="FF548235"/>
      </top>
      <bottom style="thin">
        <color rgb="FF548235"/>
      </bottom>
      <diagonal/>
    </border>
    <border diagonalUp="false" diagonalDown="false">
      <left style="thick">
        <color rgb="FF548235"/>
      </left>
      <right style="thin">
        <color rgb="FFD0D0D0"/>
      </right>
      <top style="thin">
        <color rgb="FF7F7F7F"/>
      </top>
      <bottom style="hair">
        <color rgb="FFE3E3E3"/>
      </bottom>
      <diagonal/>
    </border>
    <border diagonalUp="false" diagonalDown="false">
      <left style="thick">
        <color rgb="FF548235"/>
      </left>
      <right style="thin">
        <color rgb="FFD0D0D0"/>
      </right>
      <top style="hair">
        <color rgb="FFE3E3E3"/>
      </top>
      <bottom style="hair">
        <color rgb="FFE3E3E3"/>
      </bottom>
      <diagonal/>
    </border>
    <border diagonalUp="false" diagonalDown="false">
      <left style="thick">
        <color rgb="FFC55A11"/>
      </left>
      <right/>
      <top style="medium">
        <color rgb="FFC55A11"/>
      </top>
      <bottom style="thin">
        <color rgb="FFC55A11"/>
      </bottom>
      <diagonal/>
    </border>
    <border diagonalUp="false" diagonalDown="false">
      <left/>
      <right/>
      <top style="medium">
        <color rgb="FFC55A11"/>
      </top>
      <bottom style="thin">
        <color rgb="FFC55A11"/>
      </bottom>
      <diagonal/>
    </border>
    <border diagonalUp="false" diagonalDown="false">
      <left style="medium">
        <color rgb="FF7F7F7F"/>
      </left>
      <right/>
      <top style="medium">
        <color rgb="FFC55A11"/>
      </top>
      <bottom style="thin">
        <color rgb="FFC55A11"/>
      </bottom>
      <diagonal/>
    </border>
    <border diagonalUp="false" diagonalDown="false">
      <left/>
      <right style="medium">
        <color rgb="FF7F7F7F"/>
      </right>
      <top style="medium">
        <color rgb="FFC55A11"/>
      </top>
      <bottom style="thin">
        <color rgb="FFC55A11"/>
      </bottom>
      <diagonal/>
    </border>
    <border diagonalUp="false" diagonalDown="false">
      <left style="thick">
        <color rgb="FFC55A11"/>
      </left>
      <right style="thin">
        <color rgb="FFD0D0D0"/>
      </right>
      <top style="thin">
        <color rgb="FF7F7F7F"/>
      </top>
      <bottom style="hair">
        <color rgb="FFE3E3E3"/>
      </bottom>
      <diagonal/>
    </border>
    <border diagonalUp="false" diagonalDown="false">
      <left style="thick">
        <color rgb="FFC55A11"/>
      </left>
      <right style="thin">
        <color rgb="FFD0D0D0"/>
      </right>
      <top style="hair">
        <color rgb="FFE3E3E3"/>
      </top>
      <bottom style="hair">
        <color rgb="FFE3E3E3"/>
      </bottom>
      <diagonal/>
    </border>
    <border diagonalUp="false" diagonalDown="false">
      <left style="thick">
        <color rgb="FF7030A0"/>
      </left>
      <right/>
      <top style="medium">
        <color rgb="FF7030A0"/>
      </top>
      <bottom style="thin">
        <color rgb="FF7030A0"/>
      </bottom>
      <diagonal/>
    </border>
    <border diagonalUp="false" diagonalDown="false">
      <left/>
      <right/>
      <top style="medium">
        <color rgb="FF7030A0"/>
      </top>
      <bottom style="thin">
        <color rgb="FF7030A0"/>
      </bottom>
      <diagonal/>
    </border>
    <border diagonalUp="false" diagonalDown="false">
      <left style="medium">
        <color rgb="FF7F7F7F"/>
      </left>
      <right/>
      <top style="medium">
        <color rgb="FF7030A0"/>
      </top>
      <bottom style="thin">
        <color rgb="FF7030A0"/>
      </bottom>
      <diagonal/>
    </border>
    <border diagonalUp="false" diagonalDown="false">
      <left/>
      <right style="medium">
        <color rgb="FF7F7F7F"/>
      </right>
      <top style="medium">
        <color rgb="FF7030A0"/>
      </top>
      <bottom style="thin">
        <color rgb="FF7030A0"/>
      </bottom>
      <diagonal/>
    </border>
    <border diagonalUp="false" diagonalDown="false">
      <left style="thick">
        <color rgb="FF7030A0"/>
      </left>
      <right style="thin">
        <color rgb="FFD0D0D0"/>
      </right>
      <top style="thin">
        <color rgb="FF7F7F7F"/>
      </top>
      <bottom style="hair">
        <color rgb="FFE3E3E3"/>
      </bottom>
      <diagonal/>
    </border>
    <border diagonalUp="false" diagonalDown="false">
      <left style="thick">
        <color rgb="FF7030A0"/>
      </left>
      <right style="thin">
        <color rgb="FFD0D0D0"/>
      </right>
      <top style="hair">
        <color rgb="FFE3E3E3"/>
      </top>
      <bottom style="hair">
        <color rgb="FFE3E3E3"/>
      </bottom>
      <diagonal/>
    </border>
    <border diagonalUp="false" diagonalDown="false">
      <left style="thick">
        <color rgb="FF7F7F7F"/>
      </left>
      <right/>
      <top style="medium">
        <color rgb="FF7F7F7F"/>
      </top>
      <bottom style="thin">
        <color rgb="FF7F7F7F"/>
      </bottom>
      <diagonal/>
    </border>
    <border diagonalUp="false" diagonalDown="false">
      <left/>
      <right/>
      <top style="medium">
        <color rgb="FF7F7F7F"/>
      </top>
      <bottom style="thin">
        <color rgb="FF7F7F7F"/>
      </bottom>
      <diagonal/>
    </border>
    <border diagonalUp="false" diagonalDown="false">
      <left style="medium">
        <color rgb="FF7F7F7F"/>
      </left>
      <right/>
      <top style="medium">
        <color rgb="FF7F7F7F"/>
      </top>
      <bottom style="thin">
        <color rgb="FF7F7F7F"/>
      </bottom>
      <diagonal/>
    </border>
    <border diagonalUp="false" diagonalDown="false">
      <left/>
      <right style="medium">
        <color rgb="FF7F7F7F"/>
      </right>
      <top style="medium">
        <color rgb="FF7F7F7F"/>
      </top>
      <bottom style="thin">
        <color rgb="FF7F7F7F"/>
      </bottom>
      <diagonal/>
    </border>
    <border diagonalUp="false" diagonalDown="false">
      <left style="thick">
        <color rgb="FF7F7F7F"/>
      </left>
      <right style="thin">
        <color rgb="FFD0D0D0"/>
      </right>
      <top style="thin">
        <color rgb="FF7F7F7F"/>
      </top>
      <bottom style="hair">
        <color rgb="FFE3E3E3"/>
      </bottom>
      <diagonal/>
    </border>
    <border diagonalUp="false" diagonalDown="false">
      <left style="thin">
        <color rgb="FF006100"/>
      </left>
      <right style="thin">
        <color rgb="FF006100"/>
      </right>
      <top style="thin">
        <color rgb="FF006100"/>
      </top>
      <bottom style="thin">
        <color rgb="FF006100"/>
      </bottom>
      <diagonal/>
    </border>
    <border diagonalUp="false" diagonalDown="false">
      <left style="thin">
        <color rgb="FF7F6000"/>
      </left>
      <right style="thin">
        <color rgb="FF7F6000"/>
      </right>
      <top style="thin">
        <color rgb="FF7F6000"/>
      </top>
      <bottom style="thin">
        <color rgb="FF7F6000"/>
      </bottom>
      <diagonal/>
    </border>
    <border diagonalUp="false" diagonalDown="false">
      <left style="thin">
        <color rgb="FF9C0006"/>
      </left>
      <right style="thin">
        <color rgb="FF9C0006"/>
      </right>
      <top style="thin">
        <color rgb="FF9C0006"/>
      </top>
      <bottom style="thin">
        <color rgb="FF9C0006"/>
      </bottom>
      <diagonal/>
    </border>
    <border diagonalUp="false" diagonalDown="false">
      <left style="thin">
        <color rgb="FFD0D0D0"/>
      </left>
      <right style="thin">
        <color rgb="FFD0D0D0"/>
      </right>
      <top style="medium">
        <color rgb="FF1F3864"/>
      </top>
      <bottom style="thin">
        <color rgb="FFD0D0D0"/>
      </bottom>
      <diagonal/>
    </border>
    <border diagonalUp="false" diagonalDown="false">
      <left/>
      <right/>
      <top style="medium">
        <color rgb="FF1F3864"/>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1"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1" shrinkToFit="false"/>
      <protection locked="true" hidden="false"/>
    </xf>
    <xf numFmtId="164" fontId="8" fillId="3"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left" vertical="center" textRotation="0" wrapText="true" indent="1" shrinkToFit="false"/>
      <protection locked="true" hidden="false"/>
    </xf>
    <xf numFmtId="165" fontId="10" fillId="4" borderId="2" xfId="0" applyFont="true" applyBorder="true" applyAlignment="true" applyProtection="false">
      <alignment horizontal="center" vertical="center" textRotation="0" wrapText="true" indent="0" shrinkToFit="false"/>
      <protection locked="true" hidden="false"/>
    </xf>
    <xf numFmtId="166" fontId="8" fillId="3" borderId="2" xfId="0" applyFont="true" applyBorder="true" applyAlignment="true" applyProtection="false">
      <alignment horizontal="center" vertical="center" textRotation="0" wrapText="true" indent="0" shrinkToFit="false"/>
      <protection locked="true" hidden="false"/>
    </xf>
    <xf numFmtId="164" fontId="11" fillId="5" borderId="3" xfId="0" applyFont="true" applyBorder="true" applyAlignment="true" applyProtection="false">
      <alignment horizontal="left" vertical="center" textRotation="0" wrapText="false" indent="1" shrinkToFit="false"/>
      <protection locked="true" hidden="false"/>
    </xf>
    <xf numFmtId="164" fontId="12" fillId="0" borderId="0" xfId="0" applyFont="true" applyBorder="true" applyAlignment="true" applyProtection="false">
      <alignment horizontal="left" vertical="center" textRotation="0" wrapText="true" indent="1" shrinkToFit="false"/>
      <protection locked="true" hidden="false"/>
    </xf>
    <xf numFmtId="164" fontId="7" fillId="0" borderId="0" xfId="0" applyFont="true" applyBorder="true" applyAlignment="true" applyProtection="false">
      <alignment horizontal="left" vertical="center" textRotation="0" wrapText="true" indent="1" shrinkToFit="false"/>
      <protection locked="true" hidden="false"/>
    </xf>
    <xf numFmtId="164" fontId="12" fillId="0" borderId="2" xfId="0" applyFont="true" applyBorder="true" applyAlignment="true" applyProtection="false">
      <alignment horizontal="left" vertical="center" textRotation="0" wrapText="true" indent="1" shrinkToFit="false"/>
      <protection locked="true" hidden="false"/>
    </xf>
    <xf numFmtId="164" fontId="6" fillId="6" borderId="4" xfId="0" applyFont="true" applyBorder="true" applyAlignment="true" applyProtection="false">
      <alignment horizontal="left" vertical="center" textRotation="0" wrapText="true" indent="1" shrinkToFit="false"/>
      <protection locked="true" hidden="false"/>
    </xf>
    <xf numFmtId="164" fontId="6" fillId="7" borderId="5" xfId="0" applyFont="true" applyBorder="true" applyAlignment="true" applyProtection="false">
      <alignment horizontal="left" vertical="center" textRotation="0" wrapText="true" indent="1" shrinkToFit="false"/>
      <protection locked="true" hidden="false"/>
    </xf>
    <xf numFmtId="164" fontId="12" fillId="4" borderId="0" xfId="0" applyFont="true" applyBorder="true" applyAlignment="true" applyProtection="false">
      <alignment horizontal="left" vertical="center" textRotation="0" wrapText="true" indent="1" shrinkToFit="false"/>
      <protection locked="true" hidden="false"/>
    </xf>
    <xf numFmtId="164" fontId="13" fillId="3" borderId="2" xfId="0" applyFont="true" applyBorder="true" applyAlignment="true" applyProtection="false">
      <alignment horizontal="left" vertical="center" textRotation="0" wrapText="true" indent="1"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7" fontId="9" fillId="0" borderId="2" xfId="0" applyFont="true" applyBorder="true" applyAlignment="true" applyProtection="false">
      <alignment horizontal="left" vertical="center" textRotation="0" wrapText="true" indent="1" shrinkToFit="false"/>
      <protection locked="true" hidden="false"/>
    </xf>
    <xf numFmtId="164" fontId="7" fillId="4" borderId="2" xfId="0" applyFont="true" applyBorder="true" applyAlignment="true" applyProtection="false">
      <alignment horizontal="left" vertical="center" textRotation="0" wrapText="true" indent="1" shrinkToFit="false"/>
      <protection locked="true" hidden="false"/>
    </xf>
    <xf numFmtId="164" fontId="7" fillId="4" borderId="2" xfId="0" applyFont="true" applyBorder="true" applyAlignment="true" applyProtection="false">
      <alignment horizontal="center" vertical="center" textRotation="0" wrapText="true" indent="0" shrinkToFit="false"/>
      <protection locked="true" hidden="false"/>
    </xf>
    <xf numFmtId="167" fontId="7" fillId="4" borderId="2" xfId="0" applyFont="true" applyBorder="true" applyAlignment="true" applyProtection="false">
      <alignment horizontal="left" vertical="center" textRotation="0" wrapText="true" indent="1"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14" fillId="0" borderId="0" xfId="0" applyFont="true" applyBorder="true" applyAlignment="true" applyProtection="false">
      <alignment horizontal="general" vertical="center" textRotation="0" wrapText="true" indent="0" shrinkToFit="false"/>
      <protection locked="true" hidden="false"/>
    </xf>
    <xf numFmtId="164" fontId="11" fillId="5" borderId="0" xfId="0" applyFont="true" applyBorder="true" applyAlignment="true" applyProtection="false">
      <alignment horizontal="general" vertical="center" textRotation="0" wrapText="tru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12" fillId="0" borderId="2"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12" fillId="0" borderId="2" xfId="0" applyFont="true" applyBorder="true" applyAlignment="true" applyProtection="false">
      <alignment horizontal="center" vertical="center" textRotation="0" wrapText="true" indent="0" shrinkToFit="false"/>
      <protection locked="true" hidden="false"/>
    </xf>
    <xf numFmtId="164" fontId="15" fillId="0" borderId="2"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7" fillId="8" borderId="2" xfId="0" applyFont="true" applyBorder="true" applyAlignment="true" applyProtection="false">
      <alignment horizontal="left" vertical="center" textRotation="0" wrapText="true" indent="0" shrinkToFit="false"/>
      <protection locked="true" hidden="false"/>
    </xf>
    <xf numFmtId="164" fontId="12" fillId="8" borderId="2" xfId="0" applyFont="true" applyBorder="true" applyAlignment="true" applyProtection="false">
      <alignment horizontal="center" vertical="center" textRotation="0" wrapText="true" indent="0" shrinkToFit="false"/>
      <protection locked="true" hidden="false"/>
    </xf>
    <xf numFmtId="164" fontId="12" fillId="8" borderId="2" xfId="0" applyFont="true" applyBorder="true" applyAlignment="true" applyProtection="false">
      <alignment horizontal="left" vertical="center" textRotation="0" wrapText="true" indent="0" shrinkToFit="false"/>
      <protection locked="true" hidden="false"/>
    </xf>
    <xf numFmtId="168" fontId="16" fillId="0" borderId="2" xfId="0" applyFont="true" applyBorder="true" applyAlignment="true" applyProtection="false">
      <alignment horizontal="center" vertical="center" textRotation="0" wrapText="true" indent="0" shrinkToFit="false"/>
      <protection locked="true" hidden="false"/>
    </xf>
    <xf numFmtId="165" fontId="16" fillId="0" borderId="2" xfId="0" applyFont="true" applyBorder="true" applyAlignment="true" applyProtection="false">
      <alignment horizontal="center" vertical="center" textRotation="0" wrapText="true" indent="0" shrinkToFit="false"/>
      <protection locked="true" hidden="false"/>
    </xf>
    <xf numFmtId="166" fontId="16" fillId="0" borderId="2" xfId="0" applyFont="true" applyBorder="true" applyAlignment="true" applyProtection="false">
      <alignment horizontal="center" vertical="center" textRotation="0" wrapText="true" indent="0" shrinkToFit="false"/>
      <protection locked="true" hidden="false"/>
    </xf>
    <xf numFmtId="164" fontId="17" fillId="4" borderId="2" xfId="0" applyFont="true" applyBorder="true" applyAlignment="true" applyProtection="false">
      <alignment horizontal="left" vertical="center" textRotation="0" wrapText="true" indent="0" shrinkToFit="false"/>
      <protection locked="true" hidden="false"/>
    </xf>
    <xf numFmtId="164" fontId="9" fillId="4" borderId="2" xfId="0" applyFont="true" applyBorder="true" applyAlignment="true" applyProtection="false">
      <alignment horizontal="left" vertical="center" textRotation="0" wrapText="true" indent="0" shrinkToFit="false"/>
      <protection locked="true" hidden="false"/>
    </xf>
    <xf numFmtId="164" fontId="13" fillId="8" borderId="2" xfId="0" applyFont="true" applyBorder="true" applyAlignment="true" applyProtection="false">
      <alignment horizontal="center" vertical="center" textRotation="0" wrapText="true" indent="0" shrinkToFit="false"/>
      <protection locked="true" hidden="false"/>
    </xf>
    <xf numFmtId="166" fontId="12" fillId="8" borderId="2" xfId="0" applyFont="true" applyBorder="true" applyAlignment="true" applyProtection="false">
      <alignment horizontal="center" vertical="center" textRotation="0" wrapText="true" indent="0" shrinkToFit="false"/>
      <protection locked="true" hidden="false"/>
    </xf>
    <xf numFmtId="167" fontId="12" fillId="8" borderId="2" xfId="0" applyFont="true" applyBorder="true" applyAlignment="true" applyProtection="false">
      <alignment horizontal="center" vertical="center" textRotation="0" wrapText="true" indent="0" shrinkToFit="false"/>
      <protection locked="true" hidden="false"/>
    </xf>
    <xf numFmtId="167" fontId="7" fillId="8" borderId="2"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left" vertical="center" textRotation="0" wrapText="true" indent="0" shrinkToFit="false"/>
      <protection locked="true" hidden="false"/>
    </xf>
    <xf numFmtId="167" fontId="7" fillId="4" borderId="2" xfId="0" applyFont="true" applyBorder="true" applyAlignment="true" applyProtection="false">
      <alignment horizontal="center" vertical="center" textRotation="0" wrapText="true" indent="0" shrinkToFit="false"/>
      <protection locked="true" hidden="false"/>
    </xf>
    <xf numFmtId="164" fontId="12" fillId="0" borderId="2" xfId="0" applyFont="true" applyBorder="true" applyAlignment="true" applyProtection="false">
      <alignment horizontal="general" vertical="center" textRotation="0" wrapText="true" indent="0" shrinkToFit="false"/>
      <protection locked="true" hidden="false"/>
    </xf>
    <xf numFmtId="167" fontId="7" fillId="0" borderId="2" xfId="0" applyFont="true" applyBorder="true" applyAlignment="true" applyProtection="false">
      <alignment horizontal="center" vertical="center" textRotation="0" wrapText="false" indent="0" shrinkToFit="false"/>
      <protection locked="true" hidden="false"/>
    </xf>
    <xf numFmtId="167" fontId="7" fillId="0" borderId="2" xfId="0" applyFont="true" applyBorder="true" applyAlignment="true" applyProtection="false">
      <alignment horizontal="center" vertical="center" textRotation="0" wrapText="true" indent="0" shrinkToFit="false"/>
      <protection locked="true" hidden="false"/>
    </xf>
    <xf numFmtId="166" fontId="7" fillId="0" borderId="2" xfId="0" applyFont="true" applyBorder="true" applyAlignment="true" applyProtection="false">
      <alignment horizontal="center" vertical="center" textRotation="0" wrapText="true" indent="0" shrinkToFit="false"/>
      <protection locked="true" hidden="false"/>
    </xf>
    <xf numFmtId="164" fontId="18" fillId="9" borderId="6" xfId="0" applyFont="true" applyBorder="true" applyAlignment="true" applyProtection="false">
      <alignment horizontal="center" vertical="center" textRotation="0" wrapText="true" indent="0" shrinkToFit="false"/>
      <protection locked="true" hidden="false"/>
    </xf>
    <xf numFmtId="164" fontId="14" fillId="0" borderId="2" xfId="0" applyFont="true" applyBorder="true" applyAlignment="true" applyProtection="false">
      <alignment horizontal="left" vertical="center" textRotation="0" wrapText="true" indent="1" shrinkToFit="false"/>
      <protection locked="true" hidden="false"/>
    </xf>
    <xf numFmtId="164" fontId="19" fillId="10" borderId="7" xfId="0" applyFont="true" applyBorder="true" applyAlignment="true" applyProtection="false">
      <alignment horizontal="center" vertical="center" textRotation="0" wrapText="true" indent="0" shrinkToFit="false"/>
      <protection locked="true" hidden="false"/>
    </xf>
    <xf numFmtId="164" fontId="20" fillId="11" borderId="8" xfId="0" applyFont="true" applyBorder="true" applyAlignment="true" applyProtection="false">
      <alignment horizontal="center" vertical="center" textRotation="0" wrapText="true" indent="0" shrinkToFit="false"/>
      <protection locked="true" hidden="false"/>
    </xf>
    <xf numFmtId="164" fontId="21" fillId="12" borderId="9" xfId="0" applyFont="true" applyBorder="true" applyAlignment="true" applyProtection="false">
      <alignment horizontal="center" vertical="center" textRotation="0" wrapText="true" indent="0" shrinkToFit="false"/>
      <protection locked="true" hidden="false"/>
    </xf>
    <xf numFmtId="164" fontId="22" fillId="13" borderId="10" xfId="0" applyFont="true" applyBorder="true" applyAlignment="true" applyProtection="false">
      <alignment horizontal="center" vertical="center" textRotation="0" wrapText="true" indent="0" shrinkToFit="false"/>
      <protection locked="true" hidden="false"/>
    </xf>
    <xf numFmtId="164" fontId="0" fillId="4" borderId="11" xfId="0" applyFont="false" applyBorder="true" applyAlignment="false" applyProtection="false">
      <alignment horizontal="general" vertical="bottom" textRotation="0" wrapText="false" indent="0" shrinkToFit="false"/>
      <protection locked="true" hidden="false"/>
    </xf>
    <xf numFmtId="164" fontId="7" fillId="4" borderId="11" xfId="0" applyFont="true" applyBorder="true" applyAlignment="true" applyProtection="false">
      <alignment horizontal="right" vertical="center" textRotation="0" wrapText="true" indent="0" shrinkToFit="false"/>
      <protection locked="true" hidden="false"/>
    </xf>
    <xf numFmtId="169" fontId="7" fillId="4" borderId="1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17" fillId="0" borderId="0" xfId="0" applyFont="true" applyBorder="false" applyAlignment="true" applyProtection="false">
      <alignment horizontal="left" vertical="center" textRotation="0" wrapText="false" indent="0" shrinkToFit="false"/>
      <protection locked="true" hidden="false"/>
    </xf>
    <xf numFmtId="164" fontId="6" fillId="2" borderId="12" xfId="0" applyFont="true" applyBorder="true" applyAlignment="true" applyProtection="false">
      <alignment horizontal="center" vertical="center" textRotation="0" wrapText="true" indent="0" shrinkToFit="false"/>
      <protection locked="true" hidden="false"/>
    </xf>
    <xf numFmtId="164" fontId="6" fillId="6" borderId="13" xfId="0" applyFont="true" applyBorder="true" applyAlignment="true" applyProtection="false">
      <alignment horizontal="center" vertical="center" textRotation="0" wrapText="true" indent="0" shrinkToFit="false"/>
      <protection locked="true" hidden="false"/>
    </xf>
    <xf numFmtId="164" fontId="6" fillId="7" borderId="14" xfId="0" applyFont="true" applyBorder="true" applyAlignment="true" applyProtection="false">
      <alignment horizontal="center" vertical="center" textRotation="0" wrapText="true" indent="0" shrinkToFit="false"/>
      <protection locked="true" hidden="false"/>
    </xf>
    <xf numFmtId="164" fontId="6" fillId="14" borderId="15" xfId="0" applyFont="true" applyBorder="true" applyAlignment="true" applyProtection="false">
      <alignment horizontal="center" vertical="center" textRotation="0" wrapText="true" indent="0" shrinkToFit="false"/>
      <protection locked="true" hidden="false"/>
    </xf>
    <xf numFmtId="164" fontId="6" fillId="14" borderId="16" xfId="0" applyFont="true" applyBorder="true" applyAlignment="true" applyProtection="false">
      <alignment horizontal="center" vertical="center" textRotation="0" wrapText="true" indent="0" shrinkToFit="false"/>
      <protection locked="true" hidden="false"/>
    </xf>
    <xf numFmtId="164" fontId="6" fillId="15" borderId="17" xfId="0" applyFont="true" applyBorder="true" applyAlignment="true" applyProtection="false">
      <alignment horizontal="center" vertical="center" textRotation="0" wrapText="true" indent="0" shrinkToFit="false"/>
      <protection locked="true" hidden="false"/>
    </xf>
    <xf numFmtId="164" fontId="17" fillId="5" borderId="18" xfId="0" applyFont="true" applyBorder="true" applyAlignment="true" applyProtection="false">
      <alignment horizontal="center" vertical="center" textRotation="0" wrapText="true" indent="0" shrinkToFit="false"/>
      <protection locked="true" hidden="false"/>
    </xf>
    <xf numFmtId="164" fontId="17" fillId="5" borderId="19" xfId="0" applyFont="true" applyBorder="true" applyAlignment="true" applyProtection="false">
      <alignment horizontal="center" vertical="center" textRotation="0" wrapText="true" indent="0" shrinkToFit="false"/>
      <protection locked="true" hidden="false"/>
    </xf>
    <xf numFmtId="164" fontId="17" fillId="5" borderId="20" xfId="0" applyFont="true" applyBorder="true" applyAlignment="true" applyProtection="false">
      <alignment horizontal="center" vertical="center" textRotation="0" wrapText="true" indent="0" shrinkToFit="false"/>
      <protection locked="true" hidden="false"/>
    </xf>
    <xf numFmtId="164" fontId="7" fillId="9" borderId="21" xfId="0" applyFont="true" applyBorder="true" applyAlignment="true" applyProtection="false">
      <alignment horizontal="left" vertical="center" textRotation="0" wrapText="true" indent="1" shrinkToFit="false"/>
      <protection locked="true" hidden="false"/>
    </xf>
    <xf numFmtId="164" fontId="0" fillId="9" borderId="22" xfId="0" applyFont="false" applyBorder="true" applyAlignment="true" applyProtection="false">
      <alignment horizontal="general" vertical="bottom" textRotation="0" wrapText="false" indent="0" shrinkToFit="false"/>
      <protection locked="true" hidden="false"/>
    </xf>
    <xf numFmtId="164" fontId="0" fillId="9" borderId="23" xfId="0" applyFont="false" applyBorder="true" applyAlignment="true" applyProtection="false">
      <alignment horizontal="general" vertical="bottom" textRotation="0" wrapText="false" indent="0" shrinkToFit="false"/>
      <protection locked="true" hidden="false"/>
    </xf>
    <xf numFmtId="164" fontId="0" fillId="9" borderId="24" xfId="0" applyFont="false" applyBorder="true" applyAlignment="true" applyProtection="false">
      <alignment horizontal="general" vertical="bottom" textRotation="0" wrapText="false" indent="0" shrinkToFit="false"/>
      <protection locked="true" hidden="false"/>
    </xf>
    <xf numFmtId="164" fontId="23" fillId="9" borderId="25" xfId="0" applyFont="true" applyBorder="true" applyAlignment="true" applyProtection="false">
      <alignment horizontal="center" vertical="center" textRotation="0" wrapText="true" indent="0" shrinkToFit="false"/>
      <protection locked="true" hidden="false"/>
    </xf>
    <xf numFmtId="164" fontId="14" fillId="8" borderId="26" xfId="0" applyFont="true" applyBorder="true" applyAlignment="true" applyProtection="false">
      <alignment horizontal="center" vertical="center" textRotation="0" wrapText="true" indent="0" shrinkToFit="false"/>
      <protection locked="true" hidden="false"/>
    </xf>
    <xf numFmtId="164" fontId="12" fillId="8" borderId="26" xfId="0" applyFont="true" applyBorder="true" applyAlignment="true" applyProtection="false">
      <alignment horizontal="center" vertical="center" textRotation="0" wrapText="true" indent="0" shrinkToFit="false"/>
      <protection locked="true" hidden="false"/>
    </xf>
    <xf numFmtId="164" fontId="24" fillId="8" borderId="26" xfId="0" applyFont="true" applyBorder="true" applyAlignment="true" applyProtection="false">
      <alignment horizontal="center" vertical="center" textRotation="0" wrapText="true" indent="0" shrinkToFit="false"/>
      <protection locked="true" hidden="false"/>
    </xf>
    <xf numFmtId="164" fontId="25" fillId="8" borderId="26" xfId="0" applyFont="true" applyBorder="true" applyAlignment="true" applyProtection="false">
      <alignment horizontal="center" vertical="center" textRotation="0" wrapText="true" indent="0" shrinkToFit="false"/>
      <protection locked="true" hidden="false"/>
    </xf>
    <xf numFmtId="164" fontId="26" fillId="8" borderId="26" xfId="0" applyFont="true" applyBorder="true" applyAlignment="true" applyProtection="false">
      <alignment horizontal="left" vertical="center" textRotation="0" wrapText="true" indent="1" shrinkToFit="false"/>
      <protection locked="true" hidden="false"/>
    </xf>
    <xf numFmtId="164" fontId="8" fillId="3" borderId="27" xfId="0" applyFont="true" applyBorder="true" applyAlignment="true" applyProtection="false">
      <alignment horizontal="center" vertical="center" textRotation="0" wrapText="true" indent="0" shrinkToFit="false"/>
      <protection locked="true" hidden="false"/>
    </xf>
    <xf numFmtId="164" fontId="8" fillId="3" borderId="28" xfId="0" applyFont="true" applyBorder="true" applyAlignment="true" applyProtection="false">
      <alignment horizontal="center" vertical="center" textRotation="0" wrapText="true" indent="0" shrinkToFit="false"/>
      <protection locked="true" hidden="false"/>
    </xf>
    <xf numFmtId="164" fontId="8" fillId="3" borderId="29" xfId="0" applyFont="true" applyBorder="true" applyAlignment="true" applyProtection="false">
      <alignment horizontal="center" vertical="center" textRotation="0" wrapText="true" indent="0" shrinkToFit="false"/>
      <protection locked="true" hidden="false"/>
    </xf>
    <xf numFmtId="167" fontId="9" fillId="4" borderId="30" xfId="0" applyFont="true" applyBorder="true" applyAlignment="true" applyProtection="false">
      <alignment horizontal="center" vertical="center" textRotation="0" wrapText="true" indent="0" shrinkToFit="false"/>
      <protection locked="true" hidden="false"/>
    </xf>
    <xf numFmtId="167" fontId="9" fillId="4" borderId="26" xfId="0" applyFont="true" applyBorder="true" applyAlignment="true" applyProtection="false">
      <alignment horizontal="center" vertical="center" textRotation="0" wrapText="true" indent="0" shrinkToFit="false"/>
      <protection locked="true" hidden="false"/>
    </xf>
    <xf numFmtId="167" fontId="27" fillId="4" borderId="26" xfId="0" applyFont="true" applyBorder="true" applyAlignment="true" applyProtection="false">
      <alignment horizontal="center" vertical="center" textRotation="0" wrapText="true" indent="0" shrinkToFit="false"/>
      <protection locked="true" hidden="false"/>
    </xf>
    <xf numFmtId="164" fontId="7" fillId="0" borderId="30" xfId="0" applyFont="true" applyBorder="true" applyAlignment="true" applyProtection="false">
      <alignment horizontal="center" vertical="center" textRotation="0" wrapText="true" indent="0" shrinkToFit="false"/>
      <protection locked="true" hidden="false"/>
    </xf>
    <xf numFmtId="164" fontId="13" fillId="8" borderId="30" xfId="0" applyFont="true" applyBorder="true" applyAlignment="true" applyProtection="false">
      <alignment horizontal="left" vertical="center" textRotation="0" wrapText="true" indent="1" shrinkToFit="false"/>
      <protection locked="true" hidden="false"/>
    </xf>
    <xf numFmtId="164" fontId="23" fillId="9" borderId="31" xfId="0" applyFont="true" applyBorder="true" applyAlignment="true" applyProtection="false">
      <alignment horizontal="center" vertical="center" textRotation="0" wrapText="true" indent="0" shrinkToFit="false"/>
      <protection locked="true" hidden="false"/>
    </xf>
    <xf numFmtId="164" fontId="14" fillId="8" borderId="32" xfId="0" applyFont="true" applyBorder="true" applyAlignment="true" applyProtection="false">
      <alignment horizontal="center" vertical="center" textRotation="0" wrapText="true" indent="0" shrinkToFit="false"/>
      <protection locked="true" hidden="false"/>
    </xf>
    <xf numFmtId="164" fontId="12" fillId="8" borderId="32" xfId="0" applyFont="true" applyBorder="true" applyAlignment="true" applyProtection="false">
      <alignment horizontal="center" vertical="center" textRotation="0" wrapText="true" indent="0" shrinkToFit="false"/>
      <protection locked="true" hidden="false"/>
    </xf>
    <xf numFmtId="164" fontId="28" fillId="8" borderId="32" xfId="0" applyFont="true" applyBorder="true" applyAlignment="true" applyProtection="false">
      <alignment horizontal="center" vertical="center" textRotation="0" wrapText="true" indent="0" shrinkToFit="false"/>
      <protection locked="true" hidden="false"/>
    </xf>
    <xf numFmtId="164" fontId="25" fillId="8" borderId="32" xfId="0" applyFont="true" applyBorder="true" applyAlignment="true" applyProtection="false">
      <alignment horizontal="center" vertical="center" textRotation="0" wrapText="true" indent="0" shrinkToFit="false"/>
      <protection locked="true" hidden="false"/>
    </xf>
    <xf numFmtId="164" fontId="26" fillId="8" borderId="32" xfId="0" applyFont="true" applyBorder="true" applyAlignment="true" applyProtection="false">
      <alignment horizontal="left" vertical="center" textRotation="0" wrapText="true" indent="3" shrinkToFit="false"/>
      <protection locked="true" hidden="false"/>
    </xf>
    <xf numFmtId="164" fontId="8" fillId="3" borderId="33" xfId="0" applyFont="true" applyBorder="true" applyAlignment="true" applyProtection="false">
      <alignment horizontal="center" vertical="center" textRotation="0" wrapText="true" indent="0" shrinkToFit="false"/>
      <protection locked="true" hidden="false"/>
    </xf>
    <xf numFmtId="164" fontId="8" fillId="3" borderId="34" xfId="0" applyFont="true" applyBorder="true" applyAlignment="true" applyProtection="false">
      <alignment horizontal="center" vertical="center" textRotation="0" wrapText="true" indent="0" shrinkToFit="false"/>
      <protection locked="true" hidden="false"/>
    </xf>
    <xf numFmtId="164" fontId="8" fillId="3" borderId="35" xfId="0" applyFont="true" applyBorder="true" applyAlignment="true" applyProtection="false">
      <alignment horizontal="center" vertical="center" textRotation="0" wrapText="true" indent="0" shrinkToFit="false"/>
      <protection locked="true" hidden="false"/>
    </xf>
    <xf numFmtId="167" fontId="9" fillId="4" borderId="36" xfId="0" applyFont="true" applyBorder="true" applyAlignment="true" applyProtection="false">
      <alignment horizontal="center" vertical="center" textRotation="0" wrapText="true" indent="0" shrinkToFit="false"/>
      <protection locked="true" hidden="false"/>
    </xf>
    <xf numFmtId="167" fontId="9" fillId="4" borderId="32" xfId="0" applyFont="true" applyBorder="true" applyAlignment="true" applyProtection="false">
      <alignment horizontal="center" vertical="center" textRotation="0" wrapText="true" indent="0" shrinkToFit="false"/>
      <protection locked="true" hidden="false"/>
    </xf>
    <xf numFmtId="167" fontId="27" fillId="4" borderId="32" xfId="0" applyFont="true" applyBorder="true" applyAlignment="true" applyProtection="false">
      <alignment horizontal="center" vertical="center" textRotation="0" wrapText="true" indent="0" shrinkToFit="false"/>
      <protection locked="true" hidden="false"/>
    </xf>
    <xf numFmtId="164" fontId="7" fillId="0" borderId="36" xfId="0" applyFont="true" applyBorder="true" applyAlignment="true" applyProtection="false">
      <alignment horizontal="center" vertical="center" textRotation="0" wrapText="true" indent="0" shrinkToFit="false"/>
      <protection locked="true" hidden="false"/>
    </xf>
    <xf numFmtId="164" fontId="13" fillId="8" borderId="36" xfId="0" applyFont="true" applyBorder="true" applyAlignment="true" applyProtection="false">
      <alignment horizontal="left" vertical="center" textRotation="0" wrapText="true" indent="1" shrinkToFit="false"/>
      <protection locked="true" hidden="false"/>
    </xf>
    <xf numFmtId="164" fontId="14" fillId="16" borderId="26" xfId="0" applyFont="true" applyBorder="true" applyAlignment="true" applyProtection="false">
      <alignment horizontal="center" vertical="center" textRotation="0" wrapText="true" indent="0" shrinkToFit="false"/>
      <protection locked="true" hidden="false"/>
    </xf>
    <xf numFmtId="164" fontId="12" fillId="16" borderId="26" xfId="0" applyFont="true" applyBorder="true" applyAlignment="true" applyProtection="false">
      <alignment horizontal="center" vertical="center" textRotation="0" wrapText="true" indent="0" shrinkToFit="false"/>
      <protection locked="true" hidden="false"/>
    </xf>
    <xf numFmtId="164" fontId="24" fillId="16" borderId="26" xfId="0" applyFont="true" applyBorder="true" applyAlignment="true" applyProtection="false">
      <alignment horizontal="center" vertical="center" textRotation="0" wrapText="true" indent="0" shrinkToFit="false"/>
      <protection locked="true" hidden="false"/>
    </xf>
    <xf numFmtId="164" fontId="25" fillId="16" borderId="26" xfId="0" applyFont="true" applyBorder="true" applyAlignment="true" applyProtection="false">
      <alignment horizontal="center" vertical="center" textRotation="0" wrapText="true" indent="0" shrinkToFit="false"/>
      <protection locked="true" hidden="false"/>
    </xf>
    <xf numFmtId="164" fontId="26" fillId="16" borderId="26" xfId="0" applyFont="true" applyBorder="true" applyAlignment="true" applyProtection="false">
      <alignment horizontal="left" vertical="center" textRotation="0" wrapText="true" indent="1" shrinkToFit="false"/>
      <protection locked="true" hidden="false"/>
    </xf>
    <xf numFmtId="164" fontId="13" fillId="16" borderId="30" xfId="0" applyFont="true" applyBorder="true" applyAlignment="true" applyProtection="false">
      <alignment horizontal="left" vertical="center" textRotation="0" wrapText="true" indent="1" shrinkToFit="false"/>
      <protection locked="true" hidden="false"/>
    </xf>
    <xf numFmtId="164" fontId="14" fillId="16" borderId="32" xfId="0" applyFont="true" applyBorder="true" applyAlignment="true" applyProtection="false">
      <alignment horizontal="center" vertical="center" textRotation="0" wrapText="true" indent="0" shrinkToFit="false"/>
      <protection locked="true" hidden="false"/>
    </xf>
    <xf numFmtId="164" fontId="12" fillId="16" borderId="32" xfId="0" applyFont="true" applyBorder="true" applyAlignment="true" applyProtection="false">
      <alignment horizontal="center" vertical="center" textRotation="0" wrapText="true" indent="0" shrinkToFit="false"/>
      <protection locked="true" hidden="false"/>
    </xf>
    <xf numFmtId="164" fontId="28" fillId="16" borderId="32" xfId="0" applyFont="true" applyBorder="true" applyAlignment="true" applyProtection="false">
      <alignment horizontal="center" vertical="center" textRotation="0" wrapText="true" indent="0" shrinkToFit="false"/>
      <protection locked="true" hidden="false"/>
    </xf>
    <xf numFmtId="164" fontId="25" fillId="16" borderId="32" xfId="0" applyFont="true" applyBorder="true" applyAlignment="true" applyProtection="false">
      <alignment horizontal="center" vertical="center" textRotation="0" wrapText="true" indent="0" shrinkToFit="false"/>
      <protection locked="true" hidden="false"/>
    </xf>
    <xf numFmtId="164" fontId="26" fillId="16" borderId="32" xfId="0" applyFont="true" applyBorder="true" applyAlignment="true" applyProtection="false">
      <alignment horizontal="left" vertical="center" textRotation="0" wrapText="true" indent="3" shrinkToFit="false"/>
      <protection locked="true" hidden="false"/>
    </xf>
    <xf numFmtId="164" fontId="13" fillId="16" borderId="36" xfId="0" applyFont="true" applyBorder="true" applyAlignment="true" applyProtection="false">
      <alignment horizontal="left" vertical="center" textRotation="0" wrapText="true" indent="1" shrinkToFit="false"/>
      <protection locked="true" hidden="false"/>
    </xf>
    <xf numFmtId="164" fontId="7" fillId="10" borderId="37" xfId="0" applyFont="true" applyBorder="true" applyAlignment="true" applyProtection="false">
      <alignment horizontal="left" vertical="center" textRotation="0" wrapText="true" indent="1" shrinkToFit="false"/>
      <protection locked="true" hidden="false"/>
    </xf>
    <xf numFmtId="164" fontId="0" fillId="10" borderId="38" xfId="0" applyFont="false" applyBorder="true" applyAlignment="true" applyProtection="false">
      <alignment horizontal="general" vertical="bottom" textRotation="0" wrapText="false" indent="0" shrinkToFit="false"/>
      <protection locked="true" hidden="false"/>
    </xf>
    <xf numFmtId="164" fontId="0" fillId="10" borderId="39" xfId="0" applyFont="false" applyBorder="true" applyAlignment="true" applyProtection="false">
      <alignment horizontal="general" vertical="bottom" textRotation="0" wrapText="false" indent="0" shrinkToFit="false"/>
      <protection locked="true" hidden="false"/>
    </xf>
    <xf numFmtId="164" fontId="0" fillId="10" borderId="40" xfId="0" applyFont="false" applyBorder="true" applyAlignment="true" applyProtection="false">
      <alignment horizontal="general" vertical="bottom" textRotation="0" wrapText="false" indent="0" shrinkToFit="false"/>
      <protection locked="true" hidden="false"/>
    </xf>
    <xf numFmtId="164" fontId="29" fillId="10" borderId="41" xfId="0" applyFont="true" applyBorder="true" applyAlignment="true" applyProtection="false">
      <alignment horizontal="center" vertical="center" textRotation="0" wrapText="true" indent="0" shrinkToFit="false"/>
      <protection locked="true" hidden="false"/>
    </xf>
    <xf numFmtId="164" fontId="29" fillId="10" borderId="42" xfId="0" applyFont="true" applyBorder="true" applyAlignment="true" applyProtection="false">
      <alignment horizontal="center" vertical="center" textRotation="0" wrapText="true" indent="0" shrinkToFit="false"/>
      <protection locked="true" hidden="false"/>
    </xf>
    <xf numFmtId="164" fontId="7" fillId="11" borderId="43" xfId="0" applyFont="true" applyBorder="true" applyAlignment="true" applyProtection="false">
      <alignment horizontal="left" vertical="center" textRotation="0" wrapText="true" indent="1" shrinkToFit="false"/>
      <protection locked="true" hidden="false"/>
    </xf>
    <xf numFmtId="164" fontId="0" fillId="11" borderId="44" xfId="0" applyFont="false" applyBorder="true" applyAlignment="true" applyProtection="false">
      <alignment horizontal="general" vertical="bottom" textRotation="0" wrapText="false" indent="0" shrinkToFit="false"/>
      <protection locked="true" hidden="false"/>
    </xf>
    <xf numFmtId="164" fontId="0" fillId="11" borderId="45" xfId="0" applyFont="false" applyBorder="true" applyAlignment="true" applyProtection="false">
      <alignment horizontal="general" vertical="bottom" textRotation="0" wrapText="false" indent="0" shrinkToFit="false"/>
      <protection locked="true" hidden="false"/>
    </xf>
    <xf numFmtId="164" fontId="0" fillId="11" borderId="46" xfId="0" applyFont="false" applyBorder="true" applyAlignment="true" applyProtection="false">
      <alignment horizontal="general" vertical="bottom" textRotation="0" wrapText="false" indent="0" shrinkToFit="false"/>
      <protection locked="true" hidden="false"/>
    </xf>
    <xf numFmtId="164" fontId="30" fillId="11" borderId="47" xfId="0" applyFont="true" applyBorder="true" applyAlignment="true" applyProtection="false">
      <alignment horizontal="center" vertical="center" textRotation="0" wrapText="true" indent="0" shrinkToFit="false"/>
      <protection locked="true" hidden="false"/>
    </xf>
    <xf numFmtId="164" fontId="30" fillId="11" borderId="48" xfId="0" applyFont="true" applyBorder="true" applyAlignment="true" applyProtection="false">
      <alignment horizontal="center" vertical="center" textRotation="0" wrapText="true" indent="0" shrinkToFit="false"/>
      <protection locked="true" hidden="false"/>
    </xf>
    <xf numFmtId="164" fontId="7" fillId="12" borderId="49" xfId="0" applyFont="true" applyBorder="true" applyAlignment="true" applyProtection="false">
      <alignment horizontal="left" vertical="center" textRotation="0" wrapText="true" indent="1" shrinkToFit="false"/>
      <protection locked="true" hidden="false"/>
    </xf>
    <xf numFmtId="164" fontId="0" fillId="12" borderId="50" xfId="0" applyFont="false" applyBorder="true" applyAlignment="true" applyProtection="false">
      <alignment horizontal="general" vertical="bottom" textRotation="0" wrapText="false" indent="0" shrinkToFit="false"/>
      <protection locked="true" hidden="false"/>
    </xf>
    <xf numFmtId="164" fontId="0" fillId="12" borderId="51" xfId="0" applyFont="false" applyBorder="true" applyAlignment="true" applyProtection="false">
      <alignment horizontal="general" vertical="bottom" textRotation="0" wrapText="false" indent="0" shrinkToFit="false"/>
      <protection locked="true" hidden="false"/>
    </xf>
    <xf numFmtId="164" fontId="0" fillId="12" borderId="52" xfId="0" applyFont="false" applyBorder="true" applyAlignment="true" applyProtection="false">
      <alignment horizontal="general" vertical="bottom" textRotation="0" wrapText="false" indent="0" shrinkToFit="false"/>
      <protection locked="true" hidden="false"/>
    </xf>
    <xf numFmtId="164" fontId="31" fillId="12" borderId="53" xfId="0" applyFont="true" applyBorder="true" applyAlignment="true" applyProtection="false">
      <alignment horizontal="center" vertical="center" textRotation="0" wrapText="true" indent="0" shrinkToFit="false"/>
      <protection locked="true" hidden="false"/>
    </xf>
    <xf numFmtId="164" fontId="31" fillId="12" borderId="54" xfId="0" applyFont="true" applyBorder="true" applyAlignment="true" applyProtection="false">
      <alignment horizontal="center" vertical="center" textRotation="0" wrapText="true" indent="0" shrinkToFit="false"/>
      <protection locked="true" hidden="false"/>
    </xf>
    <xf numFmtId="164" fontId="7" fillId="13" borderId="55" xfId="0" applyFont="true" applyBorder="true" applyAlignment="true" applyProtection="false">
      <alignment horizontal="left" vertical="center" textRotation="0" wrapText="true" indent="1" shrinkToFit="false"/>
      <protection locked="true" hidden="false"/>
    </xf>
    <xf numFmtId="164" fontId="0" fillId="13" borderId="56" xfId="0" applyFont="false" applyBorder="true" applyAlignment="true" applyProtection="false">
      <alignment horizontal="general" vertical="bottom" textRotation="0" wrapText="false" indent="0" shrinkToFit="false"/>
      <protection locked="true" hidden="false"/>
    </xf>
    <xf numFmtId="164" fontId="0" fillId="13" borderId="57" xfId="0" applyFont="false" applyBorder="true" applyAlignment="true" applyProtection="false">
      <alignment horizontal="general" vertical="bottom" textRotation="0" wrapText="false" indent="0" shrinkToFit="false"/>
      <protection locked="true" hidden="false"/>
    </xf>
    <xf numFmtId="164" fontId="0" fillId="13" borderId="58" xfId="0" applyFont="false" applyBorder="true" applyAlignment="true" applyProtection="false">
      <alignment horizontal="general" vertical="bottom" textRotation="0" wrapText="false" indent="0" shrinkToFit="false"/>
      <protection locked="true" hidden="false"/>
    </xf>
    <xf numFmtId="164" fontId="32" fillId="13" borderId="59" xfId="0" applyFont="true" applyBorder="true" applyAlignment="true" applyProtection="false">
      <alignment horizontal="center" vertical="center" textRotation="0" wrapText="true" indent="0" shrinkToFit="false"/>
      <protection locked="true" hidden="false"/>
    </xf>
    <xf numFmtId="164" fontId="33" fillId="17" borderId="60" xfId="0" applyFont="true" applyBorder="true" applyAlignment="true" applyProtection="false">
      <alignment horizontal="center" vertical="center" textRotation="0" wrapText="true" indent="0" shrinkToFit="false"/>
      <protection locked="true" hidden="false"/>
    </xf>
    <xf numFmtId="164" fontId="34" fillId="18" borderId="61" xfId="0" applyFont="true" applyBorder="true" applyAlignment="true" applyProtection="false">
      <alignment horizontal="center" vertical="center" textRotation="0" wrapText="true" indent="0" shrinkToFit="false"/>
      <protection locked="true" hidden="false"/>
    </xf>
    <xf numFmtId="164" fontId="35" fillId="19" borderId="62" xfId="0" applyFont="true" applyBorder="true" applyAlignment="true" applyProtection="false">
      <alignment horizontal="center" vertical="center" textRotation="0" wrapText="true" indent="0" shrinkToFit="false"/>
      <protection locked="true" hidden="false"/>
    </xf>
    <xf numFmtId="169" fontId="12" fillId="0" borderId="2" xfId="0" applyFont="true" applyBorder="true" applyAlignment="true" applyProtection="false">
      <alignment horizontal="center" vertical="center" textRotation="0" wrapText="true" indent="0" shrinkToFit="false"/>
      <protection locked="true" hidden="false"/>
    </xf>
    <xf numFmtId="167" fontId="12" fillId="0" borderId="2" xfId="0" applyFont="true" applyBorder="true" applyAlignment="true" applyProtection="false">
      <alignment horizontal="center" vertical="center" textRotation="0" wrapText="true" indent="0" shrinkToFit="false"/>
      <protection locked="true" hidden="false"/>
    </xf>
    <xf numFmtId="164" fontId="7" fillId="4" borderId="63" xfId="0" applyFont="true" applyBorder="true" applyAlignment="true" applyProtection="false">
      <alignment horizontal="center" vertical="center" textRotation="0" wrapText="true" indent="0" shrinkToFit="false"/>
      <protection locked="true" hidden="false"/>
    </xf>
    <xf numFmtId="167" fontId="7" fillId="4" borderId="63"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7" fillId="4" borderId="64" xfId="0" applyFont="true" applyBorder="true" applyAlignment="true" applyProtection="false">
      <alignment horizontal="center" vertical="center" textRotation="0" wrapText="true" indent="0" shrinkToFit="false"/>
      <protection locked="true" hidden="false"/>
    </xf>
    <xf numFmtId="164" fontId="28" fillId="0"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8">
    <dxf>
      <font>
        <b val="1"/>
        <color rgb="FF006100"/>
      </font>
      <fill>
        <patternFill>
          <bgColor rgb="FFC6EFCE"/>
        </patternFill>
      </fill>
    </dxf>
    <dxf>
      <font>
        <b val="1"/>
        <color rgb="FF7F6000"/>
      </font>
      <fill>
        <patternFill>
          <bgColor rgb="FFFFEB9C"/>
        </patternFill>
      </fill>
    </dxf>
    <dxf>
      <font>
        <b val="1"/>
        <color rgb="FF9C0006"/>
      </font>
      <fill>
        <patternFill>
          <bgColor rgb="FFFFC7CE"/>
        </patternFill>
      </fill>
    </dxf>
    <dxf>
      <fill>
        <patternFill patternType="solid">
          <fgColor rgb="FFDCE6F1"/>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EDEDED"/>
          <bgColor rgb="FF000000"/>
        </patternFill>
      </fill>
    </dxf>
    <dxf>
      <fill>
        <patternFill patternType="solid">
          <fgColor rgb="FFFCE4D6"/>
          <bgColor rgb="FF000000"/>
        </patternFill>
      </fill>
    </dxf>
    <dxf>
      <fill>
        <patternFill patternType="solid">
          <bgColor rgb="FF000000"/>
        </patternFill>
      </fill>
    </dxf>
    <dxf>
      <fill>
        <patternFill patternType="solid">
          <fgColor rgb="FF000000"/>
          <bgColor rgb="FF000000"/>
        </patternFill>
      </fill>
    </dxf>
    <dxf>
      <fill>
        <patternFill patternType="solid">
          <fgColor rgb="FF2F5496"/>
          <bgColor rgb="FF000000"/>
        </patternFill>
      </fill>
    </dxf>
    <dxf>
      <fill>
        <patternFill patternType="solid">
          <fgColor rgb="FF548235"/>
          <bgColor rgb="FF000000"/>
        </patternFill>
      </fill>
    </dxf>
    <dxf>
      <fill>
        <patternFill patternType="solid">
          <fgColor rgb="FF7030A0"/>
          <bgColor rgb="FF000000"/>
        </patternFill>
      </fill>
    </dxf>
    <dxf>
      <fill>
        <patternFill patternType="solid">
          <fgColor rgb="FF7F7F7F"/>
          <bgColor rgb="FF000000"/>
        </patternFill>
      </fill>
    </dxf>
    <dxf>
      <fill>
        <patternFill patternType="solid">
          <fgColor rgb="FFC55A11"/>
          <bgColor rgb="FF000000"/>
        </patternFill>
      </fill>
    </dxf>
    <dxf>
      <fill>
        <patternFill patternType="solid">
          <fgColor rgb="FFF4F7FB"/>
          <bgColor rgb="FF000000"/>
        </patternFill>
      </fill>
    </dxf>
    <dxf>
      <fill>
        <patternFill patternType="solid">
          <fgColor rgb="FFFFFFFF"/>
          <bgColor rgb="FF000000"/>
        </patternFill>
      </fill>
    </dxf>
    <dxf>
      <fill>
        <patternFill patternType="solid">
          <fgColor rgb="FF595959"/>
          <bgColor rgb="FF000000"/>
        </patternFill>
      </fill>
    </dxf>
    <dxf>
      <fill>
        <patternFill patternType="solid">
          <fgColor rgb="FFD9E2F3"/>
          <bgColor rgb="FF000000"/>
        </patternFill>
      </fill>
    </dxf>
    <dxf>
      <fill>
        <patternFill patternType="solid">
          <fgColor rgb="FFFFF2CC"/>
          <bgColor rgb="FF000000"/>
        </patternFill>
      </fill>
    </dxf>
    <dxf>
      <fill>
        <patternFill patternType="solid">
          <fgColor rgb="FF1F3864"/>
          <bgColor rgb="FF000000"/>
        </patternFill>
      </fill>
    </dxf>
    <dxf>
      <fill>
        <patternFill patternType="solid">
          <fgColor rgb="FFF2F2F2"/>
          <bgColor rgb="FF000000"/>
        </patternFill>
      </fill>
    </dxf>
    <dxf>
      <fill>
        <patternFill patternType="solid">
          <fgColor rgb="FF404040"/>
          <bgColor rgb="FF000000"/>
        </patternFill>
      </fill>
    </dxf>
    <dxf>
      <fill>
        <patternFill patternType="solid">
          <fgColor rgb="FF262626"/>
          <bgColor rgb="FF000000"/>
        </patternFill>
      </fill>
    </dxf>
    <dxf>
      <fill>
        <patternFill>
          <bgColor rgb="FFFFD9A8"/>
        </patternFill>
      </fill>
    </dxf>
    <dxf>
      <font>
        <color rgb="FF006100"/>
      </font>
      <fill>
        <patternFill>
          <bgColor rgb="FFC6EFCE"/>
        </patternFill>
      </fill>
    </dxf>
    <dxf>
      <font>
        <color rgb="FF7F6000"/>
      </font>
      <fill>
        <patternFill>
          <bgColor rgb="FFFFEB9C"/>
        </patternFill>
      </fill>
    </dxf>
    <dxf>
      <font>
        <color rgb="FF9C0006"/>
      </font>
      <fill>
        <patternFill>
          <bgColor rgb="FFFFC7CE"/>
        </patternFill>
      </fill>
    </dxf>
  </dxfs>
  <colors>
    <indexedColors>
      <rgbColor rgb="FF000000"/>
      <rgbColor rgb="FFFFFFFF"/>
      <rgbColor rgb="FFFF0000"/>
      <rgbColor rgb="FF00FF00"/>
      <rgbColor rgb="FF0000FF"/>
      <rgbColor rgb="FFE6D9A8"/>
      <rgbColor rgb="FFFF00FF"/>
      <rgbColor rgb="FF00FFFF"/>
      <rgbColor rgb="FF9C0006"/>
      <rgbColor rgb="FF008000"/>
      <rgbColor rgb="FF000080"/>
      <rgbColor rgb="FF7F6000"/>
      <rgbColor rgb="FF800080"/>
      <rgbColor rgb="FF375623"/>
      <rgbColor rgb="FFA6A6A6"/>
      <rgbColor rgb="FF7F7F7F"/>
      <rgbColor rgb="FFE3E3E3"/>
      <rgbColor rgb="FF7030A0"/>
      <rgbColor rgb="FFFFF2CC"/>
      <rgbColor rgb="FFE2EFDA"/>
      <rgbColor rgb="FF660066"/>
      <rgbColor rgb="FFEDEDED"/>
      <rgbColor rgb="FF2E75B6"/>
      <rgbColor rgb="FFD0D0D0"/>
      <rgbColor rgb="FF000080"/>
      <rgbColor rgb="FFFF00FF"/>
      <rgbColor rgb="FFFCE4D6"/>
      <rgbColor rgb="FF00FFFF"/>
      <rgbColor rgb="FF800080"/>
      <rgbColor rgb="FF800000"/>
      <rgbColor rgb="FF008080"/>
      <rgbColor rgb="FF0000FF"/>
      <rgbColor rgb="FF00CCFF"/>
      <rgbColor rgb="FFDCE6F1"/>
      <rgbColor rgb="FFC6EFCE"/>
      <rgbColor rgb="FFFFEB9C"/>
      <rgbColor rgb="FFD9E2F3"/>
      <rgbColor rgb="FFFFC7CE"/>
      <rgbColor rgb="FFE4DFEC"/>
      <rgbColor rgb="FFFFD9A8"/>
      <rgbColor rgb="FF4472C4"/>
      <rgbColor rgb="FFF4F7FB"/>
      <rgbColor rgb="FF70AD47"/>
      <rgbColor rgb="FFFFC000"/>
      <rgbColor rgb="FFF2F2F2"/>
      <rgbColor rgb="FFC55A11"/>
      <rgbColor rgb="FF595959"/>
      <rgbColor rgb="FF8497B0"/>
      <rgbColor rgb="FF1F3864"/>
      <rgbColor rgb="FF548235"/>
      <rgbColor rgb="FF006100"/>
      <rgbColor rgb="FF404040"/>
      <rgbColor rgb="FF993300"/>
      <rgbColor rgb="FF993366"/>
      <rgbColor rgb="FF2F5496"/>
      <rgbColor rgb="FF2626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497B0"/>
    <pageSetUpPr fitToPage="true"/>
  </sheetPr>
  <dimension ref="A1:C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84"/>
  </cols>
  <sheetData>
    <row r="1" customFormat="false" ht="27.75" hidden="false" customHeight="true" outlineLevel="0" collapsed="false">
      <c r="A1" s="2" t="s">
        <v>0</v>
      </c>
    </row>
    <row r="2" customFormat="false" ht="19.5" hidden="false" customHeight="true" outlineLevel="0" collapsed="false">
      <c r="A2" s="3" t="s">
        <v>1</v>
      </c>
      <c r="B2" s="3"/>
      <c r="C2" s="3"/>
    </row>
    <row r="4" customFormat="false" ht="21.75" hidden="false" customHeight="true" outlineLevel="0" collapsed="false">
      <c r="A4" s="4" t="s">
        <v>2</v>
      </c>
      <c r="B4" s="5" t="s">
        <v>3</v>
      </c>
      <c r="C4" s="4" t="s">
        <v>4</v>
      </c>
    </row>
    <row r="5" customFormat="false" ht="36" hidden="false" customHeight="true" outlineLevel="0" collapsed="false">
      <c r="A5" s="6" t="s">
        <v>5</v>
      </c>
      <c r="B5" s="7" t="n">
        <v>5</v>
      </c>
      <c r="C5" s="8" t="s">
        <v>6</v>
      </c>
    </row>
    <row r="6" customFormat="false" ht="24" hidden="false" customHeight="true" outlineLevel="0" collapsed="false">
      <c r="A6" s="6" t="s">
        <v>7</v>
      </c>
      <c r="B6" s="7" t="n">
        <v>5</v>
      </c>
      <c r="C6" s="8" t="s">
        <v>8</v>
      </c>
    </row>
    <row r="7" customFormat="false" ht="24" hidden="false" customHeight="true" outlineLevel="0" collapsed="false">
      <c r="A7" s="6" t="s">
        <v>9</v>
      </c>
      <c r="B7" s="9" t="n">
        <f aca="false">(1/B5)^B5</f>
        <v>0.00032</v>
      </c>
      <c r="C7" s="8" t="s">
        <v>10</v>
      </c>
    </row>
    <row r="8" customFormat="false" ht="36" hidden="false" customHeight="true" outlineLevel="0" collapsed="false">
      <c r="A8" s="6" t="s">
        <v>11</v>
      </c>
      <c r="B8" s="10" t="n">
        <v>0.8</v>
      </c>
      <c r="C8" s="8" t="s">
        <v>12</v>
      </c>
    </row>
    <row r="9" customFormat="false" ht="24" hidden="false" customHeight="true" outlineLevel="0" collapsed="false">
      <c r="A9" s="6" t="s">
        <v>13</v>
      </c>
      <c r="B9" s="10" t="n">
        <v>0.7</v>
      </c>
      <c r="C9" s="8" t="s">
        <v>14</v>
      </c>
    </row>
    <row r="11" customFormat="false" ht="24" hidden="false" customHeight="true" outlineLevel="0" collapsed="false">
      <c r="A11" s="11" t="s">
        <v>15</v>
      </c>
      <c r="B11" s="11"/>
      <c r="C11" s="11"/>
    </row>
    <row r="12" customFormat="false" ht="21.75" hidden="false" customHeight="true" outlineLevel="0" collapsed="false">
      <c r="A12" s="12" t="s">
        <v>16</v>
      </c>
      <c r="B12" s="12"/>
      <c r="C12" s="12"/>
    </row>
    <row r="13" customFormat="false" ht="21.75" hidden="false" customHeight="true" outlineLevel="0" collapsed="false">
      <c r="A13" s="12" t="s">
        <v>17</v>
      </c>
      <c r="B13" s="12"/>
      <c r="C13" s="12"/>
    </row>
    <row r="14" customFormat="false" ht="21.75" hidden="false" customHeight="true" outlineLevel="0" collapsed="false">
      <c r="A14" s="13" t="s">
        <v>18</v>
      </c>
      <c r="B14" s="13"/>
      <c r="C14" s="13"/>
    </row>
    <row r="15" customFormat="false" ht="21.75" hidden="false" customHeight="true" outlineLevel="0" collapsed="false">
      <c r="A15" s="12" t="s">
        <v>19</v>
      </c>
      <c r="B15" s="12"/>
      <c r="C15" s="12"/>
    </row>
    <row r="16" customFormat="false" ht="21.75" hidden="false" customHeight="true" outlineLevel="0" collapsed="false">
      <c r="A16" s="12" t="s">
        <v>20</v>
      </c>
      <c r="B16" s="12"/>
      <c r="C16" s="12"/>
    </row>
    <row r="18" customFormat="false" ht="24" hidden="false" customHeight="true" outlineLevel="0" collapsed="false">
      <c r="A18" s="11" t="s">
        <v>21</v>
      </c>
      <c r="B18" s="11"/>
      <c r="C18" s="11"/>
    </row>
    <row r="19" customFormat="false" ht="21.75" hidden="false" customHeight="true" outlineLevel="0" collapsed="false">
      <c r="A19" s="5" t="s">
        <v>22</v>
      </c>
      <c r="B19" s="5"/>
      <c r="C19" s="4" t="s">
        <v>23</v>
      </c>
    </row>
    <row r="20" customFormat="false" ht="30" hidden="false" customHeight="true" outlineLevel="0" collapsed="false">
      <c r="A20" s="4" t="s">
        <v>24</v>
      </c>
      <c r="B20" s="4"/>
      <c r="C20" s="14" t="s">
        <v>25</v>
      </c>
    </row>
    <row r="21" customFormat="false" ht="30" hidden="false" customHeight="true" outlineLevel="0" collapsed="false">
      <c r="A21" s="15" t="s">
        <v>26</v>
      </c>
      <c r="B21" s="15"/>
      <c r="C21" s="14" t="s">
        <v>27</v>
      </c>
    </row>
    <row r="22" customFormat="false" ht="30" hidden="false" customHeight="true" outlineLevel="0" collapsed="false">
      <c r="A22" s="16" t="s">
        <v>28</v>
      </c>
      <c r="B22" s="16"/>
      <c r="C22" s="14" t="s">
        <v>29</v>
      </c>
    </row>
    <row r="24" customFormat="false" ht="24" hidden="false" customHeight="true" outlineLevel="0" collapsed="false">
      <c r="A24" s="11" t="s">
        <v>30</v>
      </c>
      <c r="B24" s="11"/>
      <c r="C24" s="11"/>
    </row>
    <row r="25" customFormat="false" ht="21.75" hidden="false" customHeight="true" outlineLevel="0" collapsed="false">
      <c r="A25" s="17" t="s">
        <v>31</v>
      </c>
      <c r="B25" s="17"/>
      <c r="C25" s="17"/>
    </row>
    <row r="26" customFormat="false" ht="21.75" hidden="false" customHeight="true" outlineLevel="0" collapsed="false">
      <c r="A26" s="17" t="s">
        <v>32</v>
      </c>
      <c r="B26" s="17"/>
      <c r="C26" s="17"/>
    </row>
    <row r="27" customFormat="false" ht="21.75" hidden="false" customHeight="true" outlineLevel="0" collapsed="false">
      <c r="A27" s="17" t="s">
        <v>33</v>
      </c>
      <c r="B27" s="17"/>
      <c r="C27" s="17"/>
    </row>
    <row r="29" customFormat="false" ht="24" hidden="false" customHeight="true" outlineLevel="0" collapsed="false">
      <c r="A29" s="11" t="s">
        <v>34</v>
      </c>
      <c r="B29" s="11"/>
      <c r="C29" s="11"/>
    </row>
    <row r="30" customFormat="false" ht="21.75" hidden="false" customHeight="true" outlineLevel="0" collapsed="false">
      <c r="A30" s="6" t="s">
        <v>35</v>
      </c>
      <c r="B30" s="18"/>
      <c r="C30" s="18"/>
    </row>
    <row r="31" customFormat="false" ht="21.75" hidden="false" customHeight="true" outlineLevel="0" collapsed="false">
      <c r="A31" s="6" t="s">
        <v>36</v>
      </c>
      <c r="B31" s="18"/>
      <c r="C31" s="18"/>
    </row>
    <row r="32" customFormat="false" ht="21.75" hidden="false" customHeight="true" outlineLevel="0" collapsed="false">
      <c r="A32" s="6" t="s">
        <v>37</v>
      </c>
      <c r="B32" s="18"/>
      <c r="C32" s="18"/>
    </row>
    <row r="33" customFormat="false" ht="21.75" hidden="false" customHeight="true" outlineLevel="0" collapsed="false">
      <c r="A33" s="6" t="s">
        <v>38</v>
      </c>
      <c r="B33" s="18"/>
      <c r="C33" s="18"/>
    </row>
    <row r="34" customFormat="false" ht="21.75" hidden="false" customHeight="true" outlineLevel="0" collapsed="false">
      <c r="A34" s="6" t="s">
        <v>39</v>
      </c>
      <c r="B34" s="18"/>
      <c r="C34" s="18"/>
    </row>
    <row r="36" customFormat="false" ht="24" hidden="false" customHeight="true" outlineLevel="0" collapsed="false">
      <c r="A36" s="11" t="s">
        <v>40</v>
      </c>
      <c r="B36" s="11"/>
      <c r="C36" s="11"/>
    </row>
    <row r="37" customFormat="false" ht="21.75" hidden="false" customHeight="true" outlineLevel="0" collapsed="false">
      <c r="A37" s="4" t="s">
        <v>22</v>
      </c>
      <c r="B37" s="5" t="s">
        <v>41</v>
      </c>
      <c r="C37" s="5" t="s">
        <v>42</v>
      </c>
    </row>
    <row r="38" customFormat="false" ht="21.75" hidden="false" customHeight="true" outlineLevel="0" collapsed="false">
      <c r="A38" s="8" t="s">
        <v>24</v>
      </c>
      <c r="B38" s="19" t="s">
        <v>43</v>
      </c>
      <c r="C38" s="20" t="n">
        <f aca="false">ROUND(AVERAGE(5,4,5,5,4)/$B$6-$B$7,4)</f>
        <v>0.9197</v>
      </c>
    </row>
    <row r="39" customFormat="false" ht="21.75" hidden="false" customHeight="true" outlineLevel="0" collapsed="false">
      <c r="A39" s="8" t="s">
        <v>26</v>
      </c>
      <c r="B39" s="19" t="s">
        <v>44</v>
      </c>
      <c r="C39" s="20" t="n">
        <f aca="false">ROUND(AVERAGE(4,4,5,4,4)/$B$6-$B$7,4)</f>
        <v>0.8397</v>
      </c>
    </row>
    <row r="40" customFormat="false" ht="21.75" hidden="false" customHeight="true" outlineLevel="0" collapsed="false">
      <c r="A40" s="8" t="s">
        <v>28</v>
      </c>
      <c r="B40" s="19" t="s">
        <v>45</v>
      </c>
      <c r="C40" s="20" t="n">
        <f aca="false">ROUND(AVERAGE(5,5,4,5,5)/$B$6-$B$7,4)</f>
        <v>0.9597</v>
      </c>
    </row>
    <row r="41" customFormat="false" ht="21.75" hidden="false" customHeight="true" outlineLevel="0" collapsed="false">
      <c r="A41" s="21" t="s">
        <v>46</v>
      </c>
      <c r="B41" s="22"/>
      <c r="C41" s="23" t="n">
        <f aca="false">ROUND(AVERAGE(C38:C40),4)</f>
        <v>0.9064</v>
      </c>
    </row>
    <row r="42" customFormat="false" ht="21.75" hidden="false" customHeight="true" outlineLevel="0" collapsed="false">
      <c r="A42" s="21" t="s">
        <v>47</v>
      </c>
      <c r="B42" s="22"/>
      <c r="C42" s="23" t="str">
        <f aca="false">IF(C41&gt;=$B$8,"Manter",IF(C41&gt;=$B$9,"Revisar","Descartar"))</f>
        <v>Manter</v>
      </c>
    </row>
  </sheetData>
  <mergeCells count="23">
    <mergeCell ref="A2:C2"/>
    <mergeCell ref="A11:C11"/>
    <mergeCell ref="A12:C12"/>
    <mergeCell ref="A13:C13"/>
    <mergeCell ref="A14:C14"/>
    <mergeCell ref="A15:C15"/>
    <mergeCell ref="A16:C16"/>
    <mergeCell ref="A18:C18"/>
    <mergeCell ref="A19:B19"/>
    <mergeCell ref="A20:B20"/>
    <mergeCell ref="A21:B21"/>
    <mergeCell ref="A22:B22"/>
    <mergeCell ref="A24:C24"/>
    <mergeCell ref="A25:C25"/>
    <mergeCell ref="A26:C26"/>
    <mergeCell ref="A27:C27"/>
    <mergeCell ref="A29:C29"/>
    <mergeCell ref="B30:C30"/>
    <mergeCell ref="B31:C31"/>
    <mergeCell ref="B32:C32"/>
    <mergeCell ref="B33:C33"/>
    <mergeCell ref="B34:C34"/>
    <mergeCell ref="A36:C36"/>
  </mergeCells>
  <conditionalFormatting sqref="C42">
    <cfRule type="expression" priority="2" aboveAverage="0" equalAverage="0" bottom="0" percent="0" rank="0" text="" dxfId="0">
      <formula>C42="Manter"</formula>
    </cfRule>
    <cfRule type="expression" priority="3" aboveAverage="0" equalAverage="0" bottom="0" percent="0" rank="0" text="" dxfId="1">
      <formula>C42="Revisar"</formula>
    </cfRule>
    <cfRule type="expression" priority="4" aboveAverage="0" equalAverage="0" bottom="0" percent="0" rank="0" text="" dxfId="2">
      <formula>C42="Descartar"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I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6" min="2" style="0" width="10"/>
    <col collapsed="false" customWidth="true" hidden="false" outlineLevel="0" max="8" min="7" style="0" width="13"/>
    <col collapsed="false" customWidth="true" hidden="false" outlineLevel="0" max="9" min="9" style="0" width="16"/>
  </cols>
  <sheetData>
    <row r="1" customFormat="false" ht="27.75" hidden="false" customHeight="true" outlineLevel="0" collapsed="false">
      <c r="A1" s="24" t="s">
        <v>48</v>
      </c>
      <c r="B1" s="24"/>
      <c r="C1" s="24"/>
      <c r="D1" s="24"/>
      <c r="E1" s="24"/>
      <c r="F1" s="24"/>
      <c r="G1" s="24"/>
      <c r="H1" s="24"/>
      <c r="I1" s="24"/>
    </row>
    <row r="2" customFormat="false" ht="33" hidden="false" customHeight="true" outlineLevel="0" collapsed="false">
      <c r="A2" s="25" t="s">
        <v>49</v>
      </c>
      <c r="B2" s="25"/>
      <c r="C2" s="25"/>
      <c r="D2" s="25"/>
      <c r="E2" s="25"/>
      <c r="F2" s="25"/>
      <c r="G2" s="25"/>
      <c r="H2" s="25"/>
      <c r="I2" s="25"/>
    </row>
    <row r="4" customFormat="false" ht="24" hidden="false" customHeight="true" outlineLevel="0" collapsed="false">
      <c r="A4" s="26" t="s">
        <v>50</v>
      </c>
      <c r="B4" s="26"/>
      <c r="C4" s="26"/>
      <c r="D4" s="26"/>
      <c r="E4" s="26"/>
      <c r="F4" s="26"/>
      <c r="G4" s="26"/>
      <c r="H4" s="26"/>
      <c r="I4" s="26"/>
    </row>
    <row r="5" customFormat="false" ht="21.75" hidden="false" customHeight="true" outlineLevel="0" collapsed="false">
      <c r="A5" s="27" t="s">
        <v>51</v>
      </c>
      <c r="B5" s="27"/>
      <c r="C5" s="27" t="s">
        <v>52</v>
      </c>
      <c r="D5" s="27"/>
      <c r="E5" s="27"/>
      <c r="F5" s="27"/>
      <c r="G5" s="27"/>
      <c r="H5" s="27"/>
      <c r="I5" s="27"/>
    </row>
    <row r="6" customFormat="false" ht="33" hidden="false" customHeight="true" outlineLevel="0" collapsed="false">
      <c r="A6" s="28" t="s">
        <v>53</v>
      </c>
      <c r="B6" s="28"/>
      <c r="C6" s="29" t="s">
        <v>54</v>
      </c>
      <c r="D6" s="29"/>
      <c r="E6" s="29"/>
      <c r="F6" s="29"/>
      <c r="G6" s="29"/>
      <c r="H6" s="29"/>
      <c r="I6" s="29"/>
    </row>
    <row r="7" customFormat="false" ht="33" hidden="false" customHeight="true" outlineLevel="0" collapsed="false">
      <c r="A7" s="28" t="s">
        <v>55</v>
      </c>
      <c r="B7" s="28"/>
      <c r="C7" s="29" t="s">
        <v>56</v>
      </c>
      <c r="D7" s="29"/>
      <c r="E7" s="29"/>
      <c r="F7" s="29"/>
      <c r="G7" s="29"/>
      <c r="H7" s="29"/>
      <c r="I7" s="29"/>
    </row>
    <row r="8" customFormat="false" ht="33" hidden="false" customHeight="true" outlineLevel="0" collapsed="false">
      <c r="A8" s="28" t="s">
        <v>57</v>
      </c>
      <c r="B8" s="28"/>
      <c r="C8" s="29" t="s">
        <v>58</v>
      </c>
      <c r="D8" s="29"/>
      <c r="E8" s="29"/>
      <c r="F8" s="29"/>
      <c r="G8" s="29"/>
      <c r="H8" s="29"/>
      <c r="I8" s="29"/>
    </row>
    <row r="9" customFormat="false" ht="46.5" hidden="false" customHeight="true" outlineLevel="0" collapsed="false">
      <c r="A9" s="28" t="s">
        <v>59</v>
      </c>
      <c r="B9" s="28"/>
      <c r="C9" s="29" t="s">
        <v>60</v>
      </c>
      <c r="D9" s="29"/>
      <c r="E9" s="29"/>
      <c r="F9" s="29"/>
      <c r="G9" s="29"/>
      <c r="H9" s="29"/>
      <c r="I9" s="29"/>
    </row>
    <row r="10" customFormat="false" ht="46.5" hidden="false" customHeight="true" outlineLevel="0" collapsed="false">
      <c r="A10" s="28" t="s">
        <v>61</v>
      </c>
      <c r="B10" s="28"/>
      <c r="C10" s="29" t="s">
        <v>62</v>
      </c>
      <c r="D10" s="29"/>
      <c r="E10" s="29"/>
      <c r="F10" s="29"/>
      <c r="G10" s="29"/>
      <c r="H10" s="29"/>
      <c r="I10" s="29"/>
    </row>
    <row r="11" customFormat="false" ht="33" hidden="false" customHeight="true" outlineLevel="0" collapsed="false">
      <c r="A11" s="28" t="s">
        <v>63</v>
      </c>
      <c r="B11" s="28"/>
      <c r="C11" s="29" t="s">
        <v>64</v>
      </c>
      <c r="D11" s="29"/>
      <c r="E11" s="29"/>
      <c r="F11" s="29"/>
      <c r="G11" s="29"/>
      <c r="H11" s="29"/>
      <c r="I11" s="29"/>
    </row>
    <row r="12" customFormat="false" ht="7.5" hidden="false" customHeight="true" outlineLevel="0" collapsed="false"/>
    <row r="13" customFormat="false" ht="24" hidden="false" customHeight="true" outlineLevel="0" collapsed="false">
      <c r="A13" s="26" t="s">
        <v>65</v>
      </c>
      <c r="B13" s="26"/>
      <c r="C13" s="26"/>
      <c r="D13" s="26"/>
      <c r="E13" s="26"/>
      <c r="F13" s="26"/>
      <c r="G13" s="26"/>
      <c r="H13" s="26"/>
      <c r="I13" s="26"/>
    </row>
    <row r="14" customFormat="false" ht="21.75" hidden="false" customHeight="true" outlineLevel="0" collapsed="false">
      <c r="A14" s="27" t="s">
        <v>66</v>
      </c>
      <c r="B14" s="27" t="s">
        <v>67</v>
      </c>
      <c r="C14" s="27"/>
      <c r="D14" s="27" t="s">
        <v>68</v>
      </c>
      <c r="E14" s="27"/>
      <c r="F14" s="27"/>
      <c r="G14" s="27"/>
      <c r="H14" s="27"/>
      <c r="I14" s="27"/>
    </row>
    <row r="15" customFormat="false" ht="19.5" hidden="false" customHeight="true" outlineLevel="0" collapsed="false">
      <c r="A15" s="30" t="s">
        <v>69</v>
      </c>
      <c r="B15" s="29" t="s">
        <v>70</v>
      </c>
      <c r="C15" s="29"/>
      <c r="D15" s="29" t="s">
        <v>71</v>
      </c>
      <c r="E15" s="29"/>
      <c r="F15" s="29"/>
      <c r="G15" s="29"/>
      <c r="H15" s="29"/>
      <c r="I15" s="29"/>
    </row>
    <row r="16" customFormat="false" ht="19.5" hidden="false" customHeight="true" outlineLevel="0" collapsed="false">
      <c r="A16" s="30" t="s">
        <v>72</v>
      </c>
      <c r="B16" s="29" t="s">
        <v>73</v>
      </c>
      <c r="C16" s="29"/>
      <c r="D16" s="29" t="s">
        <v>74</v>
      </c>
      <c r="E16" s="29"/>
      <c r="F16" s="29"/>
      <c r="G16" s="29"/>
      <c r="H16" s="29"/>
      <c r="I16" s="29"/>
    </row>
    <row r="17" customFormat="false" ht="19.5" hidden="false" customHeight="true" outlineLevel="0" collapsed="false">
      <c r="A17" s="30" t="s">
        <v>75</v>
      </c>
      <c r="B17" s="29" t="s">
        <v>76</v>
      </c>
      <c r="C17" s="29"/>
      <c r="D17" s="29" t="s">
        <v>77</v>
      </c>
      <c r="E17" s="29"/>
      <c r="F17" s="29"/>
      <c r="G17" s="29"/>
      <c r="H17" s="29"/>
      <c r="I17" s="29"/>
    </row>
    <row r="18" customFormat="false" ht="19.5" hidden="false" customHeight="true" outlineLevel="0" collapsed="false">
      <c r="A18" s="30" t="s">
        <v>78</v>
      </c>
      <c r="B18" s="29" t="s">
        <v>79</v>
      </c>
      <c r="C18" s="29"/>
      <c r="D18" s="29" t="s">
        <v>80</v>
      </c>
      <c r="E18" s="29"/>
      <c r="F18" s="29"/>
      <c r="G18" s="29"/>
      <c r="H18" s="29"/>
      <c r="I18" s="29"/>
    </row>
    <row r="19" customFormat="false" ht="19.5" hidden="false" customHeight="true" outlineLevel="0" collapsed="false">
      <c r="A19" s="30" t="s">
        <v>81</v>
      </c>
      <c r="B19" s="29" t="s">
        <v>82</v>
      </c>
      <c r="C19" s="29"/>
      <c r="D19" s="29" t="s">
        <v>83</v>
      </c>
      <c r="E19" s="29"/>
      <c r="F19" s="29"/>
      <c r="G19" s="29"/>
      <c r="H19" s="29"/>
      <c r="I19" s="29"/>
    </row>
    <row r="20" customFormat="false" ht="33" hidden="false" customHeight="true" outlineLevel="0" collapsed="false">
      <c r="A20" s="31" t="s">
        <v>84</v>
      </c>
      <c r="B20" s="31"/>
      <c r="C20" s="31"/>
      <c r="D20" s="31"/>
      <c r="E20" s="31"/>
      <c r="F20" s="31"/>
      <c r="G20" s="31"/>
      <c r="H20" s="31"/>
      <c r="I20" s="31"/>
    </row>
    <row r="21" customFormat="false" ht="7.5" hidden="false" customHeight="true" outlineLevel="0" collapsed="false"/>
    <row r="22" customFormat="false" ht="24" hidden="false" customHeight="true" outlineLevel="0" collapsed="false">
      <c r="A22" s="26" t="s">
        <v>85</v>
      </c>
      <c r="B22" s="26"/>
      <c r="C22" s="26"/>
      <c r="D22" s="26"/>
      <c r="E22" s="26"/>
      <c r="F22" s="26"/>
      <c r="G22" s="26"/>
      <c r="H22" s="26"/>
      <c r="I22" s="26"/>
    </row>
    <row r="23" customFormat="false" ht="21.75" hidden="false" customHeight="true" outlineLevel="0" collapsed="false">
      <c r="A23" s="27" t="s">
        <v>22</v>
      </c>
      <c r="B23" s="27" t="s">
        <v>86</v>
      </c>
      <c r="C23" s="27"/>
      <c r="D23" s="27"/>
      <c r="E23" s="27"/>
      <c r="F23" s="27"/>
      <c r="G23" s="27" t="s">
        <v>87</v>
      </c>
      <c r="H23" s="27"/>
      <c r="I23" s="27"/>
    </row>
    <row r="24" customFormat="false" ht="33" hidden="false" customHeight="true" outlineLevel="0" collapsed="false">
      <c r="A24" s="28" t="s">
        <v>24</v>
      </c>
      <c r="B24" s="29" t="s">
        <v>25</v>
      </c>
      <c r="C24" s="29"/>
      <c r="D24" s="29"/>
      <c r="E24" s="29"/>
      <c r="F24" s="29"/>
      <c r="G24" s="32" t="s">
        <v>88</v>
      </c>
      <c r="H24" s="32"/>
      <c r="I24" s="32"/>
    </row>
    <row r="25" customFormat="false" ht="33" hidden="false" customHeight="true" outlineLevel="0" collapsed="false">
      <c r="A25" s="28" t="s">
        <v>26</v>
      </c>
      <c r="B25" s="29" t="s">
        <v>27</v>
      </c>
      <c r="C25" s="29"/>
      <c r="D25" s="29"/>
      <c r="E25" s="29"/>
      <c r="F25" s="29"/>
      <c r="G25" s="32" t="s">
        <v>89</v>
      </c>
      <c r="H25" s="32"/>
      <c r="I25" s="32"/>
    </row>
    <row r="26" customFormat="false" ht="33" hidden="false" customHeight="true" outlineLevel="0" collapsed="false">
      <c r="A26" s="28" t="s">
        <v>28</v>
      </c>
      <c r="B26" s="29" t="s">
        <v>29</v>
      </c>
      <c r="C26" s="29"/>
      <c r="D26" s="29"/>
      <c r="E26" s="29"/>
      <c r="F26" s="29"/>
      <c r="G26" s="32" t="s">
        <v>90</v>
      </c>
      <c r="H26" s="32"/>
      <c r="I26" s="32"/>
    </row>
    <row r="27" customFormat="false" ht="6" hidden="false" customHeight="true" outlineLevel="0" collapsed="false"/>
    <row r="28" customFormat="false" ht="21.75" hidden="false" customHeight="true" outlineLevel="0" collapsed="false">
      <c r="A28" s="27" t="s">
        <v>91</v>
      </c>
      <c r="B28" s="27" t="s">
        <v>92</v>
      </c>
      <c r="C28" s="27"/>
      <c r="D28" s="27" t="s">
        <v>93</v>
      </c>
      <c r="E28" s="27"/>
      <c r="F28" s="27" t="s">
        <v>94</v>
      </c>
      <c r="G28" s="27"/>
      <c r="H28" s="27" t="s">
        <v>95</v>
      </c>
      <c r="I28" s="27"/>
    </row>
    <row r="29" customFormat="false" ht="19.5" hidden="false" customHeight="true" outlineLevel="0" collapsed="false">
      <c r="A29" s="30" t="s">
        <v>35</v>
      </c>
      <c r="B29" s="32" t="s">
        <v>96</v>
      </c>
      <c r="C29" s="32"/>
      <c r="D29" s="32" t="s">
        <v>97</v>
      </c>
      <c r="E29" s="32"/>
      <c r="F29" s="32" t="s">
        <v>98</v>
      </c>
      <c r="G29" s="32"/>
      <c r="H29" s="33" t="str">
        <f aca="false">IF(Instruções!$B$30="","",Instruções!$B$30)</f>
        <v/>
      </c>
      <c r="I29" s="33"/>
    </row>
    <row r="30" customFormat="false" ht="19.5" hidden="false" customHeight="true" outlineLevel="0" collapsed="false">
      <c r="A30" s="30" t="s">
        <v>36</v>
      </c>
      <c r="B30" s="32" t="s">
        <v>99</v>
      </c>
      <c r="C30" s="32"/>
      <c r="D30" s="32" t="s">
        <v>100</v>
      </c>
      <c r="E30" s="32"/>
      <c r="F30" s="32" t="s">
        <v>101</v>
      </c>
      <c r="G30" s="32"/>
      <c r="H30" s="33" t="str">
        <f aca="false">IF(Instruções!$B$31="","",Instruções!$B$31)</f>
        <v/>
      </c>
      <c r="I30" s="33"/>
    </row>
    <row r="31" customFormat="false" ht="19.5" hidden="false" customHeight="true" outlineLevel="0" collapsed="false">
      <c r="A31" s="30" t="s">
        <v>37</v>
      </c>
      <c r="B31" s="32" t="s">
        <v>102</v>
      </c>
      <c r="C31" s="32"/>
      <c r="D31" s="32" t="s">
        <v>103</v>
      </c>
      <c r="E31" s="32"/>
      <c r="F31" s="32" t="s">
        <v>104</v>
      </c>
      <c r="G31" s="32"/>
      <c r="H31" s="33" t="str">
        <f aca="false">IF(Instruções!$B$32="","",Instruções!$B$32)</f>
        <v/>
      </c>
      <c r="I31" s="33"/>
    </row>
    <row r="32" customFormat="false" ht="19.5" hidden="false" customHeight="true" outlineLevel="0" collapsed="false">
      <c r="A32" s="30" t="s">
        <v>38</v>
      </c>
      <c r="B32" s="32" t="s">
        <v>105</v>
      </c>
      <c r="C32" s="32"/>
      <c r="D32" s="32" t="s">
        <v>106</v>
      </c>
      <c r="E32" s="32"/>
      <c r="F32" s="32" t="s">
        <v>107</v>
      </c>
      <c r="G32" s="32"/>
      <c r="H32" s="33" t="str">
        <f aca="false">IF(Instruções!$B$33="","",Instruções!$B$33)</f>
        <v/>
      </c>
      <c r="I32" s="33"/>
    </row>
    <row r="33" customFormat="false" ht="19.5" hidden="false" customHeight="true" outlineLevel="0" collapsed="false">
      <c r="A33" s="30" t="s">
        <v>39</v>
      </c>
      <c r="B33" s="32" t="s">
        <v>108</v>
      </c>
      <c r="C33" s="32"/>
      <c r="D33" s="32" t="s">
        <v>109</v>
      </c>
      <c r="E33" s="32"/>
      <c r="F33" s="32" t="s">
        <v>110</v>
      </c>
      <c r="G33" s="32"/>
      <c r="H33" s="33" t="str">
        <f aca="false">IF(Instruções!$B$34="","",Instruções!$B$34)</f>
        <v/>
      </c>
      <c r="I33" s="33"/>
    </row>
    <row r="34" customFormat="false" ht="33" hidden="false" customHeight="true" outlineLevel="0" collapsed="false">
      <c r="A34" s="31" t="s">
        <v>111</v>
      </c>
      <c r="B34" s="31"/>
      <c r="C34" s="31"/>
      <c r="D34" s="31"/>
      <c r="E34" s="31"/>
      <c r="F34" s="31"/>
      <c r="G34" s="31"/>
      <c r="H34" s="31"/>
      <c r="I34" s="31"/>
    </row>
    <row r="35" customFormat="false" ht="7.5" hidden="false" customHeight="true" outlineLevel="0" collapsed="false"/>
    <row r="36" customFormat="false" ht="24" hidden="false" customHeight="true" outlineLevel="0" collapsed="false">
      <c r="A36" s="26" t="s">
        <v>112</v>
      </c>
      <c r="B36" s="26"/>
      <c r="C36" s="26"/>
      <c r="D36" s="26"/>
      <c r="E36" s="26"/>
      <c r="F36" s="26"/>
      <c r="G36" s="26"/>
      <c r="H36" s="26"/>
      <c r="I36" s="26"/>
    </row>
    <row r="37" customFormat="false" ht="21.75" hidden="false" customHeight="true" outlineLevel="0" collapsed="false">
      <c r="A37" s="27" t="s">
        <v>113</v>
      </c>
      <c r="B37" s="27" t="s">
        <v>67</v>
      </c>
      <c r="C37" s="27"/>
      <c r="D37" s="27"/>
      <c r="E37" s="27"/>
      <c r="F37" s="27"/>
      <c r="G37" s="27"/>
      <c r="H37" s="27"/>
      <c r="I37" s="27"/>
    </row>
    <row r="38" customFormat="false" ht="19.5" hidden="false" customHeight="true" outlineLevel="0" collapsed="false">
      <c r="A38" s="28" t="s">
        <v>114</v>
      </c>
      <c r="B38" s="29" t="s">
        <v>115</v>
      </c>
      <c r="C38" s="29"/>
      <c r="D38" s="29"/>
      <c r="E38" s="29"/>
      <c r="F38" s="29"/>
      <c r="G38" s="29"/>
      <c r="H38" s="29"/>
      <c r="I38" s="29"/>
    </row>
    <row r="39" customFormat="false" ht="19.5" hidden="false" customHeight="true" outlineLevel="0" collapsed="false">
      <c r="A39" s="28" t="s">
        <v>116</v>
      </c>
      <c r="B39" s="29" t="s">
        <v>117</v>
      </c>
      <c r="C39" s="29"/>
      <c r="D39" s="29"/>
      <c r="E39" s="29"/>
      <c r="F39" s="29"/>
      <c r="G39" s="29"/>
      <c r="H39" s="29"/>
      <c r="I39" s="29"/>
    </row>
    <row r="40" customFormat="false" ht="33" hidden="false" customHeight="true" outlineLevel="0" collapsed="false">
      <c r="A40" s="28" t="s">
        <v>118</v>
      </c>
      <c r="B40" s="29" t="s">
        <v>119</v>
      </c>
      <c r="C40" s="29"/>
      <c r="D40" s="29"/>
      <c r="E40" s="29"/>
      <c r="F40" s="29"/>
      <c r="G40" s="29"/>
      <c r="H40" s="29"/>
      <c r="I40" s="29"/>
    </row>
    <row r="41" customFormat="false" ht="19.5" hidden="false" customHeight="true" outlineLevel="0" collapsed="false">
      <c r="A41" s="28" t="s">
        <v>120</v>
      </c>
      <c r="B41" s="29" t="s">
        <v>121</v>
      </c>
      <c r="C41" s="29"/>
      <c r="D41" s="29"/>
      <c r="E41" s="29"/>
      <c r="F41" s="29"/>
      <c r="G41" s="29"/>
      <c r="H41" s="29"/>
      <c r="I41" s="29"/>
    </row>
    <row r="42" customFormat="false" ht="19.5" hidden="false" customHeight="true" outlineLevel="0" collapsed="false">
      <c r="A42" s="28" t="s">
        <v>122</v>
      </c>
      <c r="B42" s="29" t="s">
        <v>123</v>
      </c>
      <c r="C42" s="29"/>
      <c r="D42" s="29"/>
      <c r="E42" s="29"/>
      <c r="F42" s="29"/>
      <c r="G42" s="29"/>
      <c r="H42" s="29"/>
      <c r="I42" s="29"/>
    </row>
    <row r="43" customFormat="false" ht="7.5" hidden="false" customHeight="true" outlineLevel="0" collapsed="false"/>
    <row r="44" customFormat="false" ht="24" hidden="false" customHeight="true" outlineLevel="0" collapsed="false">
      <c r="A44" s="26" t="s">
        <v>124</v>
      </c>
      <c r="B44" s="26"/>
      <c r="C44" s="26"/>
      <c r="D44" s="26"/>
      <c r="E44" s="26"/>
      <c r="F44" s="26"/>
      <c r="G44" s="26"/>
      <c r="H44" s="26"/>
      <c r="I44" s="26"/>
    </row>
    <row r="45" customFormat="false" ht="19.5" hidden="false" customHeight="true" outlineLevel="0" collapsed="false">
      <c r="A45" s="28" t="s">
        <v>125</v>
      </c>
      <c r="B45" s="29" t="s">
        <v>126</v>
      </c>
      <c r="C45" s="29"/>
      <c r="D45" s="29"/>
      <c r="E45" s="29"/>
      <c r="F45" s="29"/>
      <c r="G45" s="29"/>
      <c r="H45" s="29"/>
      <c r="I45" s="29"/>
    </row>
    <row r="46" customFormat="false" ht="19.5" hidden="false" customHeight="true" outlineLevel="0" collapsed="false">
      <c r="A46" s="28" t="s">
        <v>127</v>
      </c>
      <c r="B46" s="29" t="s">
        <v>128</v>
      </c>
      <c r="C46" s="29"/>
      <c r="D46" s="29"/>
      <c r="E46" s="29"/>
      <c r="F46" s="29"/>
      <c r="G46" s="29"/>
      <c r="H46" s="29"/>
      <c r="I46" s="29"/>
    </row>
    <row r="47" customFormat="false" ht="33" hidden="false" customHeight="true" outlineLevel="0" collapsed="false">
      <c r="A47" s="28" t="s">
        <v>129</v>
      </c>
      <c r="B47" s="29" t="s">
        <v>130</v>
      </c>
      <c r="C47" s="29"/>
      <c r="D47" s="29"/>
      <c r="E47" s="29"/>
      <c r="F47" s="29"/>
      <c r="G47" s="29"/>
      <c r="H47" s="29"/>
      <c r="I47" s="29"/>
    </row>
    <row r="48" customFormat="false" ht="33" hidden="false" customHeight="true" outlineLevel="0" collapsed="false">
      <c r="A48" s="28" t="s">
        <v>131</v>
      </c>
      <c r="B48" s="29" t="s">
        <v>132</v>
      </c>
      <c r="C48" s="29"/>
      <c r="D48" s="29"/>
      <c r="E48" s="29"/>
      <c r="F48" s="29"/>
      <c r="G48" s="29"/>
      <c r="H48" s="29"/>
      <c r="I48" s="29"/>
    </row>
    <row r="49" customFormat="false" ht="7.5" hidden="false" customHeight="true" outlineLevel="0" collapsed="false"/>
    <row r="50" customFormat="false" ht="24" hidden="false" customHeight="true" outlineLevel="0" collapsed="false">
      <c r="A50" s="26" t="s">
        <v>133</v>
      </c>
      <c r="B50" s="26"/>
      <c r="C50" s="26"/>
      <c r="D50" s="26"/>
      <c r="E50" s="26"/>
      <c r="F50" s="26"/>
      <c r="G50" s="26"/>
      <c r="H50" s="26"/>
      <c r="I50" s="26"/>
    </row>
    <row r="51" customFormat="false" ht="33" hidden="false" customHeight="true" outlineLevel="0" collapsed="false">
      <c r="A51" s="34" t="s">
        <v>134</v>
      </c>
      <c r="B51" s="34"/>
      <c r="C51" s="34"/>
      <c r="D51" s="34"/>
      <c r="E51" s="34"/>
      <c r="F51" s="34"/>
      <c r="G51" s="34"/>
      <c r="H51" s="34"/>
      <c r="I51" s="34"/>
    </row>
    <row r="52" customFormat="false" ht="21.75" hidden="false" customHeight="true" outlineLevel="0" collapsed="false">
      <c r="A52" s="27" t="s">
        <v>22</v>
      </c>
      <c r="B52" s="27" t="s">
        <v>135</v>
      </c>
      <c r="C52" s="27"/>
      <c r="D52" s="27" t="s">
        <v>136</v>
      </c>
      <c r="E52" s="27"/>
      <c r="F52" s="27" t="s">
        <v>137</v>
      </c>
      <c r="G52" s="27"/>
      <c r="H52" s="27"/>
      <c r="I52" s="27"/>
    </row>
    <row r="53" customFormat="false" ht="19.5" hidden="false" customHeight="true" outlineLevel="0" collapsed="false">
      <c r="A53" s="35" t="s">
        <v>24</v>
      </c>
      <c r="B53" s="36" t="n">
        <v>4</v>
      </c>
      <c r="C53" s="36"/>
      <c r="D53" s="36" t="s">
        <v>99</v>
      </c>
      <c r="E53" s="36"/>
      <c r="F53" s="37" t="s">
        <v>138</v>
      </c>
      <c r="G53" s="37"/>
      <c r="H53" s="37"/>
      <c r="I53" s="37"/>
    </row>
    <row r="54" customFormat="false" ht="19.5" hidden="false" customHeight="true" outlineLevel="0" collapsed="false">
      <c r="A54" s="35" t="s">
        <v>26</v>
      </c>
      <c r="B54" s="36" t="n">
        <v>5</v>
      </c>
      <c r="C54" s="36"/>
      <c r="D54" s="36" t="s">
        <v>100</v>
      </c>
      <c r="E54" s="36"/>
      <c r="F54" s="37" t="s">
        <v>138</v>
      </c>
      <c r="G54" s="37"/>
      <c r="H54" s="37"/>
      <c r="I54" s="37"/>
    </row>
    <row r="55" customFormat="false" ht="46.5" hidden="false" customHeight="true" outlineLevel="0" collapsed="false">
      <c r="A55" s="35" t="s">
        <v>28</v>
      </c>
      <c r="B55" s="36" t="n">
        <v>3</v>
      </c>
      <c r="C55" s="36"/>
      <c r="D55" s="36" t="s">
        <v>101</v>
      </c>
      <c r="E55" s="36"/>
      <c r="F55" s="37" t="s">
        <v>139</v>
      </c>
      <c r="G55" s="37"/>
      <c r="H55" s="37"/>
      <c r="I55" s="37"/>
    </row>
    <row r="56" customFormat="false" ht="7.5" hidden="false" customHeight="true" outlineLevel="0" collapsed="false"/>
    <row r="57" customFormat="false" ht="24" hidden="false" customHeight="true" outlineLevel="0" collapsed="false">
      <c r="A57" s="26" t="s">
        <v>140</v>
      </c>
      <c r="B57" s="26"/>
      <c r="C57" s="26"/>
      <c r="D57" s="26"/>
      <c r="E57" s="26"/>
      <c r="F57" s="26"/>
      <c r="G57" s="26"/>
      <c r="H57" s="26"/>
      <c r="I57" s="26"/>
    </row>
    <row r="58" customFormat="false" ht="19.5" hidden="false" customHeight="true" outlineLevel="0" collapsed="false">
      <c r="A58" s="29" t="s">
        <v>141</v>
      </c>
      <c r="B58" s="29"/>
      <c r="C58" s="29"/>
      <c r="D58" s="29"/>
      <c r="E58" s="29"/>
      <c r="F58" s="29"/>
      <c r="G58" s="29"/>
      <c r="H58" s="29"/>
      <c r="I58" s="29"/>
    </row>
    <row r="59" customFormat="false" ht="19.5" hidden="false" customHeight="true" outlineLevel="0" collapsed="false">
      <c r="A59" s="29" t="s">
        <v>142</v>
      </c>
      <c r="B59" s="29"/>
      <c r="C59" s="29"/>
      <c r="D59" s="29"/>
      <c r="E59" s="29"/>
      <c r="F59" s="29"/>
      <c r="G59" s="29"/>
      <c r="H59" s="29"/>
      <c r="I59" s="29"/>
    </row>
    <row r="60" customFormat="false" ht="19.5" hidden="false" customHeight="true" outlineLevel="0" collapsed="false">
      <c r="A60" s="29" t="s">
        <v>143</v>
      </c>
      <c r="B60" s="29"/>
      <c r="C60" s="29"/>
      <c r="D60" s="29"/>
      <c r="E60" s="29"/>
      <c r="F60" s="29"/>
      <c r="G60" s="29"/>
      <c r="H60" s="29"/>
      <c r="I60" s="29"/>
    </row>
    <row r="61" customFormat="false" ht="19.5" hidden="false" customHeight="true" outlineLevel="0" collapsed="false">
      <c r="A61" s="29" t="s">
        <v>144</v>
      </c>
      <c r="B61" s="29"/>
      <c r="C61" s="29"/>
      <c r="D61" s="29"/>
      <c r="E61" s="29"/>
      <c r="F61" s="29"/>
      <c r="G61" s="29"/>
      <c r="H61" s="29"/>
      <c r="I61" s="29"/>
    </row>
    <row r="62" customFormat="false" ht="33" hidden="false" customHeight="true" outlineLevel="0" collapsed="false">
      <c r="A62" s="29" t="s">
        <v>145</v>
      </c>
      <c r="B62" s="29"/>
      <c r="C62" s="29"/>
      <c r="D62" s="29"/>
      <c r="E62" s="29"/>
      <c r="F62" s="29"/>
      <c r="G62" s="29"/>
      <c r="H62" s="29"/>
      <c r="I62" s="29"/>
    </row>
  </sheetData>
  <mergeCells count="97">
    <mergeCell ref="A1:I1"/>
    <mergeCell ref="A2:I2"/>
    <mergeCell ref="A4:I4"/>
    <mergeCell ref="A5:B5"/>
    <mergeCell ref="C5:I5"/>
    <mergeCell ref="A6:B6"/>
    <mergeCell ref="C6:I6"/>
    <mergeCell ref="A7:B7"/>
    <mergeCell ref="C7:I7"/>
    <mergeCell ref="A8:B8"/>
    <mergeCell ref="C8:I8"/>
    <mergeCell ref="A9:B9"/>
    <mergeCell ref="C9:I9"/>
    <mergeCell ref="A10:B10"/>
    <mergeCell ref="C10:I10"/>
    <mergeCell ref="A11:B11"/>
    <mergeCell ref="C11:I11"/>
    <mergeCell ref="A13:I13"/>
    <mergeCell ref="B14:C14"/>
    <mergeCell ref="D14:I14"/>
    <mergeCell ref="B15:C15"/>
    <mergeCell ref="D15:I15"/>
    <mergeCell ref="B16:C16"/>
    <mergeCell ref="D16:I16"/>
    <mergeCell ref="B17:C17"/>
    <mergeCell ref="D17:I17"/>
    <mergeCell ref="B18:C18"/>
    <mergeCell ref="D18:I18"/>
    <mergeCell ref="B19:C19"/>
    <mergeCell ref="D19:I19"/>
    <mergeCell ref="A20:I20"/>
    <mergeCell ref="A22:I22"/>
    <mergeCell ref="B23:F23"/>
    <mergeCell ref="G23:I23"/>
    <mergeCell ref="B24:F24"/>
    <mergeCell ref="G24:I24"/>
    <mergeCell ref="B25:F25"/>
    <mergeCell ref="G25:I25"/>
    <mergeCell ref="B26:F26"/>
    <mergeCell ref="G26:I26"/>
    <mergeCell ref="B28:C28"/>
    <mergeCell ref="D28:E28"/>
    <mergeCell ref="F28:G28"/>
    <mergeCell ref="H28:I28"/>
    <mergeCell ref="B29:C29"/>
    <mergeCell ref="D29:E29"/>
    <mergeCell ref="F29:G29"/>
    <mergeCell ref="H29:I29"/>
    <mergeCell ref="B30:C30"/>
    <mergeCell ref="D30:E30"/>
    <mergeCell ref="F30:G30"/>
    <mergeCell ref="H30:I30"/>
    <mergeCell ref="B31:C31"/>
    <mergeCell ref="D31:E31"/>
    <mergeCell ref="F31:G31"/>
    <mergeCell ref="H31:I31"/>
    <mergeCell ref="B32:C32"/>
    <mergeCell ref="D32:E32"/>
    <mergeCell ref="F32:G32"/>
    <mergeCell ref="H32:I32"/>
    <mergeCell ref="B33:C33"/>
    <mergeCell ref="D33:E33"/>
    <mergeCell ref="F33:G33"/>
    <mergeCell ref="H33:I33"/>
    <mergeCell ref="A34:I34"/>
    <mergeCell ref="A36:I36"/>
    <mergeCell ref="B37:I37"/>
    <mergeCell ref="B38:I38"/>
    <mergeCell ref="B39:I39"/>
    <mergeCell ref="B40:I40"/>
    <mergeCell ref="B41:I41"/>
    <mergeCell ref="B42:I42"/>
    <mergeCell ref="A44:I44"/>
    <mergeCell ref="B45:I45"/>
    <mergeCell ref="B46:I46"/>
    <mergeCell ref="B47:I47"/>
    <mergeCell ref="B48:I48"/>
    <mergeCell ref="A50:I50"/>
    <mergeCell ref="A51:I51"/>
    <mergeCell ref="B52:C52"/>
    <mergeCell ref="D52:E52"/>
    <mergeCell ref="F52:I52"/>
    <mergeCell ref="B53:C53"/>
    <mergeCell ref="D53:E53"/>
    <mergeCell ref="F53:I53"/>
    <mergeCell ref="B54:C54"/>
    <mergeCell ref="D54:E54"/>
    <mergeCell ref="F54:I54"/>
    <mergeCell ref="B55:C55"/>
    <mergeCell ref="D55:E55"/>
    <mergeCell ref="F55:I55"/>
    <mergeCell ref="A57:I57"/>
    <mergeCell ref="A58:I58"/>
    <mergeCell ref="A59:I59"/>
    <mergeCell ref="A60:I60"/>
    <mergeCell ref="A61:I61"/>
    <mergeCell ref="A62:I6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true"/>
  </sheetPr>
  <dimension ref="A1:I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6" min="2" style="0" width="10"/>
    <col collapsed="false" customWidth="true" hidden="false" outlineLevel="0" max="8" min="7" style="0" width="13"/>
    <col collapsed="false" customWidth="true" hidden="false" outlineLevel="0" max="9" min="9" style="0" width="16"/>
  </cols>
  <sheetData>
    <row r="1" customFormat="false" ht="27.75" hidden="false" customHeight="true" outlineLevel="0" collapsed="false">
      <c r="A1" s="24" t="s">
        <v>146</v>
      </c>
      <c r="B1" s="24"/>
      <c r="C1" s="24"/>
      <c r="D1" s="24"/>
      <c r="E1" s="24"/>
      <c r="F1" s="24"/>
      <c r="G1" s="24"/>
      <c r="H1" s="24"/>
      <c r="I1" s="24"/>
    </row>
    <row r="2" customFormat="false" ht="33" hidden="false" customHeight="true" outlineLevel="0" collapsed="false">
      <c r="A2" s="25" t="s">
        <v>147</v>
      </c>
      <c r="B2" s="25"/>
      <c r="C2" s="25"/>
      <c r="D2" s="25"/>
      <c r="E2" s="25"/>
      <c r="F2" s="25"/>
      <c r="G2" s="25"/>
      <c r="H2" s="25"/>
      <c r="I2" s="25"/>
    </row>
    <row r="4" customFormat="false" ht="24" hidden="false" customHeight="true" outlineLevel="0" collapsed="false">
      <c r="A4" s="26" t="s">
        <v>148</v>
      </c>
      <c r="B4" s="26"/>
      <c r="C4" s="26"/>
      <c r="D4" s="26"/>
      <c r="E4" s="26"/>
      <c r="F4" s="26"/>
      <c r="G4" s="26"/>
      <c r="H4" s="26"/>
      <c r="I4" s="26"/>
    </row>
    <row r="5" customFormat="false" ht="21.75" hidden="false" customHeight="true" outlineLevel="0" collapsed="false">
      <c r="A5" s="27" t="s">
        <v>2</v>
      </c>
      <c r="B5" s="27" t="s">
        <v>3</v>
      </c>
      <c r="C5" s="27" t="s">
        <v>4</v>
      </c>
      <c r="D5" s="27"/>
      <c r="E5" s="27"/>
      <c r="F5" s="27"/>
      <c r="G5" s="27"/>
      <c r="H5" s="27"/>
      <c r="I5" s="27"/>
    </row>
    <row r="6" customFormat="false" ht="19.5" hidden="false" customHeight="true" outlineLevel="0" collapsed="false">
      <c r="A6" s="28" t="s">
        <v>5</v>
      </c>
      <c r="B6" s="38" t="n">
        <f aca="false">Instruções!$B$5</f>
        <v>5</v>
      </c>
      <c r="C6" s="29" t="s">
        <v>149</v>
      </c>
      <c r="D6" s="29"/>
      <c r="E6" s="29"/>
      <c r="F6" s="29"/>
      <c r="G6" s="29"/>
      <c r="H6" s="29"/>
      <c r="I6" s="29"/>
    </row>
    <row r="7" customFormat="false" ht="19.5" hidden="false" customHeight="true" outlineLevel="0" collapsed="false">
      <c r="A7" s="28" t="s">
        <v>7</v>
      </c>
      <c r="B7" s="38" t="n">
        <f aca="false">Instruções!$B$6</f>
        <v>5</v>
      </c>
      <c r="C7" s="29" t="s">
        <v>8</v>
      </c>
      <c r="D7" s="29"/>
      <c r="E7" s="29"/>
      <c r="F7" s="29"/>
      <c r="G7" s="29"/>
      <c r="H7" s="29"/>
      <c r="I7" s="29"/>
    </row>
    <row r="8" customFormat="false" ht="19.5" hidden="false" customHeight="true" outlineLevel="0" collapsed="false">
      <c r="A8" s="28" t="s">
        <v>150</v>
      </c>
      <c r="B8" s="39" t="n">
        <f aca="false">Instruções!$B$7</f>
        <v>0.00032</v>
      </c>
      <c r="C8" s="29" t="s">
        <v>151</v>
      </c>
      <c r="D8" s="29"/>
      <c r="E8" s="29"/>
      <c r="F8" s="29"/>
      <c r="G8" s="29"/>
      <c r="H8" s="29"/>
      <c r="I8" s="29"/>
    </row>
    <row r="9" customFormat="false" ht="33" hidden="false" customHeight="true" outlineLevel="0" collapsed="false">
      <c r="A9" s="28" t="s">
        <v>152</v>
      </c>
      <c r="B9" s="40" t="n">
        <f aca="false">Instruções!$B$8</f>
        <v>0.8</v>
      </c>
      <c r="C9" s="29" t="s">
        <v>153</v>
      </c>
      <c r="D9" s="29"/>
      <c r="E9" s="29"/>
      <c r="F9" s="29"/>
      <c r="G9" s="29"/>
      <c r="H9" s="29"/>
      <c r="I9" s="29"/>
    </row>
    <row r="10" customFormat="false" ht="33" hidden="false" customHeight="true" outlineLevel="0" collapsed="false">
      <c r="A10" s="28" t="s">
        <v>154</v>
      </c>
      <c r="B10" s="40" t="n">
        <f aca="false">Instruções!$B$9</f>
        <v>0.7</v>
      </c>
      <c r="C10" s="29" t="s">
        <v>155</v>
      </c>
      <c r="D10" s="29"/>
      <c r="E10" s="29"/>
      <c r="F10" s="29"/>
      <c r="G10" s="29"/>
      <c r="H10" s="29"/>
      <c r="I10" s="29"/>
    </row>
    <row r="11" customFormat="false" ht="19.5" hidden="false" customHeight="true" outlineLevel="0" collapsed="false">
      <c r="A11" s="31" t="s">
        <v>156</v>
      </c>
      <c r="B11" s="31"/>
      <c r="C11" s="31"/>
      <c r="D11" s="31"/>
      <c r="E11" s="31"/>
      <c r="F11" s="31"/>
      <c r="G11" s="31"/>
      <c r="H11" s="31"/>
      <c r="I11" s="31"/>
    </row>
    <row r="12" customFormat="false" ht="7.5" hidden="false" customHeight="true" outlineLevel="0" collapsed="false"/>
    <row r="13" customFormat="false" ht="24" hidden="false" customHeight="true" outlineLevel="0" collapsed="false">
      <c r="A13" s="26" t="s">
        <v>157</v>
      </c>
      <c r="B13" s="26"/>
      <c r="C13" s="26"/>
      <c r="D13" s="26"/>
      <c r="E13" s="26"/>
      <c r="F13" s="26"/>
      <c r="G13" s="26"/>
      <c r="H13" s="26"/>
      <c r="I13" s="26"/>
    </row>
    <row r="14" customFormat="false" ht="19.5" hidden="false" customHeight="true" outlineLevel="0" collapsed="false">
      <c r="A14" s="41" t="s">
        <v>158</v>
      </c>
      <c r="B14" s="41"/>
      <c r="C14" s="41"/>
      <c r="D14" s="41"/>
      <c r="E14" s="41"/>
      <c r="F14" s="41"/>
      <c r="G14" s="41"/>
      <c r="H14" s="41"/>
      <c r="I14" s="41"/>
    </row>
    <row r="15" customFormat="false" ht="19.5" hidden="false" customHeight="true" outlineLevel="0" collapsed="false">
      <c r="A15" s="28" t="s">
        <v>159</v>
      </c>
      <c r="B15" s="29" t="s">
        <v>160</v>
      </c>
      <c r="C15" s="29"/>
      <c r="D15" s="29"/>
      <c r="E15" s="29"/>
      <c r="F15" s="29"/>
      <c r="G15" s="29"/>
      <c r="H15" s="29"/>
      <c r="I15" s="29"/>
    </row>
    <row r="16" customFormat="false" ht="33" hidden="false" customHeight="true" outlineLevel="0" collapsed="false">
      <c r="A16" s="28" t="s">
        <v>161</v>
      </c>
      <c r="B16" s="29" t="s">
        <v>162</v>
      </c>
      <c r="C16" s="29"/>
      <c r="D16" s="29"/>
      <c r="E16" s="29"/>
      <c r="F16" s="29"/>
      <c r="G16" s="29"/>
      <c r="H16" s="29"/>
      <c r="I16" s="29"/>
    </row>
    <row r="17" customFormat="false" ht="33" hidden="false" customHeight="true" outlineLevel="0" collapsed="false">
      <c r="A17" s="28" t="s">
        <v>163</v>
      </c>
      <c r="B17" s="42" t="s">
        <v>164</v>
      </c>
      <c r="C17" s="42"/>
      <c r="D17" s="42"/>
      <c r="E17" s="42"/>
      <c r="F17" s="42"/>
      <c r="G17" s="42"/>
      <c r="H17" s="42"/>
      <c r="I17" s="42"/>
    </row>
    <row r="18" customFormat="false" ht="6" hidden="false" customHeight="true" outlineLevel="0" collapsed="false"/>
    <row r="19" customFormat="false" ht="19.5" hidden="false" customHeight="true" outlineLevel="0" collapsed="false">
      <c r="A19" s="41" t="s">
        <v>165</v>
      </c>
      <c r="B19" s="41"/>
      <c r="C19" s="41"/>
      <c r="D19" s="41"/>
      <c r="E19" s="41"/>
      <c r="F19" s="41"/>
      <c r="G19" s="41"/>
      <c r="H19" s="41"/>
      <c r="I19" s="41"/>
    </row>
    <row r="20" customFormat="false" ht="19.5" hidden="false" customHeight="true" outlineLevel="0" collapsed="false">
      <c r="A20" s="28" t="s">
        <v>159</v>
      </c>
      <c r="B20" s="29" t="s">
        <v>166</v>
      </c>
      <c r="C20" s="29"/>
      <c r="D20" s="29"/>
      <c r="E20" s="29"/>
      <c r="F20" s="29"/>
      <c r="G20" s="29"/>
      <c r="H20" s="29"/>
      <c r="I20" s="29"/>
    </row>
    <row r="21" customFormat="false" ht="33" hidden="false" customHeight="true" outlineLevel="0" collapsed="false">
      <c r="A21" s="28" t="s">
        <v>161</v>
      </c>
      <c r="B21" s="29" t="s">
        <v>167</v>
      </c>
      <c r="C21" s="29"/>
      <c r="D21" s="29"/>
      <c r="E21" s="29"/>
      <c r="F21" s="29"/>
      <c r="G21" s="29"/>
      <c r="H21" s="29"/>
      <c r="I21" s="29"/>
    </row>
    <row r="22" customFormat="false" ht="19.5" hidden="false" customHeight="true" outlineLevel="0" collapsed="false">
      <c r="A22" s="28" t="s">
        <v>163</v>
      </c>
      <c r="B22" s="42" t="s">
        <v>168</v>
      </c>
      <c r="C22" s="42"/>
      <c r="D22" s="42"/>
      <c r="E22" s="42"/>
      <c r="F22" s="42"/>
      <c r="G22" s="42"/>
      <c r="H22" s="42"/>
      <c r="I22" s="42"/>
    </row>
    <row r="23" customFormat="false" ht="6" hidden="false" customHeight="true" outlineLevel="0" collapsed="false"/>
    <row r="24" customFormat="false" ht="19.5" hidden="false" customHeight="true" outlineLevel="0" collapsed="false">
      <c r="A24" s="41" t="s">
        <v>169</v>
      </c>
      <c r="B24" s="41"/>
      <c r="C24" s="41"/>
      <c r="D24" s="41"/>
      <c r="E24" s="41"/>
      <c r="F24" s="41"/>
      <c r="G24" s="41"/>
      <c r="H24" s="41"/>
      <c r="I24" s="41"/>
    </row>
    <row r="25" customFormat="false" ht="19.5" hidden="false" customHeight="true" outlineLevel="0" collapsed="false">
      <c r="A25" s="28" t="s">
        <v>159</v>
      </c>
      <c r="B25" s="29" t="s">
        <v>170</v>
      </c>
      <c r="C25" s="29"/>
      <c r="D25" s="29"/>
      <c r="E25" s="29"/>
      <c r="F25" s="29"/>
      <c r="G25" s="29"/>
      <c r="H25" s="29"/>
      <c r="I25" s="29"/>
    </row>
    <row r="26" customFormat="false" ht="33" hidden="false" customHeight="true" outlineLevel="0" collapsed="false">
      <c r="A26" s="28" t="s">
        <v>161</v>
      </c>
      <c r="B26" s="29" t="s">
        <v>171</v>
      </c>
      <c r="C26" s="29"/>
      <c r="D26" s="29"/>
      <c r="E26" s="29"/>
      <c r="F26" s="29"/>
      <c r="G26" s="29"/>
      <c r="H26" s="29"/>
      <c r="I26" s="29"/>
    </row>
    <row r="27" customFormat="false" ht="19.5" hidden="false" customHeight="true" outlineLevel="0" collapsed="false">
      <c r="A27" s="28" t="s">
        <v>163</v>
      </c>
      <c r="B27" s="42" t="s">
        <v>172</v>
      </c>
      <c r="C27" s="42"/>
      <c r="D27" s="42"/>
      <c r="E27" s="42"/>
      <c r="F27" s="42"/>
      <c r="G27" s="42"/>
      <c r="H27" s="42"/>
      <c r="I27" s="42"/>
    </row>
    <row r="28" customFormat="false" ht="6" hidden="false" customHeight="true" outlineLevel="0" collapsed="false"/>
    <row r="29" customFormat="false" ht="19.5" hidden="false" customHeight="true" outlineLevel="0" collapsed="false">
      <c r="A29" s="41" t="s">
        <v>173</v>
      </c>
      <c r="B29" s="41"/>
      <c r="C29" s="41"/>
      <c r="D29" s="41"/>
      <c r="E29" s="41"/>
      <c r="F29" s="41"/>
      <c r="G29" s="41"/>
      <c r="H29" s="41"/>
      <c r="I29" s="41"/>
    </row>
    <row r="30" customFormat="false" ht="19.5" hidden="false" customHeight="true" outlineLevel="0" collapsed="false">
      <c r="A30" s="28" t="s">
        <v>159</v>
      </c>
      <c r="B30" s="29" t="s">
        <v>174</v>
      </c>
      <c r="C30" s="29"/>
      <c r="D30" s="29"/>
      <c r="E30" s="29"/>
      <c r="F30" s="29"/>
      <c r="G30" s="29"/>
      <c r="H30" s="29"/>
      <c r="I30" s="29"/>
    </row>
    <row r="31" customFormat="false" ht="33" hidden="false" customHeight="true" outlineLevel="0" collapsed="false">
      <c r="A31" s="28" t="s">
        <v>161</v>
      </c>
      <c r="B31" s="29" t="s">
        <v>175</v>
      </c>
      <c r="C31" s="29"/>
      <c r="D31" s="29"/>
      <c r="E31" s="29"/>
      <c r="F31" s="29"/>
      <c r="G31" s="29"/>
      <c r="H31" s="29"/>
      <c r="I31" s="29"/>
    </row>
    <row r="32" customFormat="false" ht="19.5" hidden="false" customHeight="true" outlineLevel="0" collapsed="false">
      <c r="A32" s="28" t="s">
        <v>163</v>
      </c>
      <c r="B32" s="42" t="s">
        <v>176</v>
      </c>
      <c r="C32" s="42"/>
      <c r="D32" s="42"/>
      <c r="E32" s="42"/>
      <c r="F32" s="42"/>
      <c r="G32" s="42"/>
      <c r="H32" s="42"/>
      <c r="I32" s="42"/>
    </row>
    <row r="33" customFormat="false" ht="6" hidden="false" customHeight="true" outlineLevel="0" collapsed="false"/>
    <row r="34" customFormat="false" ht="19.5" hidden="false" customHeight="true" outlineLevel="0" collapsed="false">
      <c r="A34" s="41" t="s">
        <v>177</v>
      </c>
      <c r="B34" s="41"/>
      <c r="C34" s="41"/>
      <c r="D34" s="41"/>
      <c r="E34" s="41"/>
      <c r="F34" s="41"/>
      <c r="G34" s="41"/>
      <c r="H34" s="41"/>
      <c r="I34" s="41"/>
    </row>
    <row r="35" customFormat="false" ht="19.5" hidden="false" customHeight="true" outlineLevel="0" collapsed="false">
      <c r="A35" s="28" t="s">
        <v>159</v>
      </c>
      <c r="B35" s="29" t="s">
        <v>178</v>
      </c>
      <c r="C35" s="29"/>
      <c r="D35" s="29"/>
      <c r="E35" s="29"/>
      <c r="F35" s="29"/>
      <c r="G35" s="29"/>
      <c r="H35" s="29"/>
      <c r="I35" s="29"/>
    </row>
    <row r="36" customFormat="false" ht="33" hidden="false" customHeight="true" outlineLevel="0" collapsed="false">
      <c r="A36" s="28" t="s">
        <v>161</v>
      </c>
      <c r="B36" s="29" t="s">
        <v>179</v>
      </c>
      <c r="C36" s="29"/>
      <c r="D36" s="29"/>
      <c r="E36" s="29"/>
      <c r="F36" s="29"/>
      <c r="G36" s="29"/>
      <c r="H36" s="29"/>
      <c r="I36" s="29"/>
    </row>
    <row r="37" customFormat="false" ht="19.5" hidden="false" customHeight="true" outlineLevel="0" collapsed="false">
      <c r="A37" s="28" t="s">
        <v>163</v>
      </c>
      <c r="B37" s="42" t="s">
        <v>180</v>
      </c>
      <c r="C37" s="42"/>
      <c r="D37" s="42"/>
      <c r="E37" s="42"/>
      <c r="F37" s="42"/>
      <c r="G37" s="42"/>
      <c r="H37" s="42"/>
      <c r="I37" s="42"/>
    </row>
    <row r="38" customFormat="false" ht="6" hidden="false" customHeight="true" outlineLevel="0" collapsed="false"/>
    <row r="39" customFormat="false" ht="24" hidden="false" customHeight="true" outlineLevel="0" collapsed="false">
      <c r="A39" s="26" t="s">
        <v>181</v>
      </c>
      <c r="B39" s="26"/>
      <c r="C39" s="26"/>
      <c r="D39" s="26"/>
      <c r="E39" s="26"/>
      <c r="F39" s="26"/>
      <c r="G39" s="26"/>
      <c r="H39" s="26"/>
      <c r="I39" s="26"/>
    </row>
    <row r="40" customFormat="false" ht="33" hidden="false" customHeight="true" outlineLevel="0" collapsed="false">
      <c r="A40" s="34" t="s">
        <v>182</v>
      </c>
      <c r="B40" s="34"/>
      <c r="C40" s="34"/>
      <c r="D40" s="34"/>
      <c r="E40" s="34"/>
      <c r="F40" s="34"/>
      <c r="G40" s="34"/>
      <c r="H40" s="34"/>
      <c r="I40" s="34"/>
    </row>
    <row r="41" customFormat="false" ht="33" hidden="false" customHeight="true" outlineLevel="0" collapsed="false">
      <c r="A41" s="27" t="s">
        <v>22</v>
      </c>
      <c r="B41" s="27" t="s">
        <v>35</v>
      </c>
      <c r="C41" s="27" t="s">
        <v>36</v>
      </c>
      <c r="D41" s="27" t="s">
        <v>37</v>
      </c>
      <c r="E41" s="27" t="s">
        <v>38</v>
      </c>
      <c r="F41" s="27" t="s">
        <v>39</v>
      </c>
      <c r="G41" s="27" t="s">
        <v>183</v>
      </c>
      <c r="H41" s="27" t="s">
        <v>184</v>
      </c>
      <c r="I41" s="27" t="s">
        <v>185</v>
      </c>
    </row>
    <row r="42" customFormat="false" ht="19.5" hidden="false" customHeight="true" outlineLevel="0" collapsed="false">
      <c r="A42" s="35" t="s">
        <v>24</v>
      </c>
      <c r="B42" s="43" t="n">
        <v>4</v>
      </c>
      <c r="C42" s="43" t="n">
        <v>3</v>
      </c>
      <c r="D42" s="43" t="n">
        <v>4</v>
      </c>
      <c r="E42" s="43" t="n">
        <v>4</v>
      </c>
      <c r="F42" s="43" t="n">
        <v>3</v>
      </c>
      <c r="G42" s="44" t="n">
        <f aca="false">AVERAGE(B42:F42)</f>
        <v>3.6</v>
      </c>
      <c r="H42" s="45" t="n">
        <f aca="false">G42/$B$7</f>
        <v>0.72</v>
      </c>
      <c r="I42" s="46" t="n">
        <f aca="false">H42-$B$8</f>
        <v>0.71968</v>
      </c>
    </row>
    <row r="43" customFormat="false" ht="19.5" hidden="false" customHeight="true" outlineLevel="0" collapsed="false">
      <c r="A43" s="35" t="s">
        <v>26</v>
      </c>
      <c r="B43" s="43" t="n">
        <v>4</v>
      </c>
      <c r="C43" s="43" t="n">
        <v>4</v>
      </c>
      <c r="D43" s="43" t="n">
        <v>3</v>
      </c>
      <c r="E43" s="43" t="n">
        <v>4</v>
      </c>
      <c r="F43" s="43" t="n">
        <v>4</v>
      </c>
      <c r="G43" s="44" t="n">
        <f aca="false">AVERAGE(B43:F43)</f>
        <v>3.8</v>
      </c>
      <c r="H43" s="45" t="n">
        <f aca="false">G43/$B$7</f>
        <v>0.76</v>
      </c>
      <c r="I43" s="46" t="n">
        <f aca="false">H43-$B$8</f>
        <v>0.75968</v>
      </c>
    </row>
    <row r="44" customFormat="false" ht="19.5" hidden="false" customHeight="true" outlineLevel="0" collapsed="false">
      <c r="A44" s="35" t="s">
        <v>28</v>
      </c>
      <c r="B44" s="43" t="n">
        <v>5</v>
      </c>
      <c r="C44" s="43" t="n">
        <v>4</v>
      </c>
      <c r="D44" s="43" t="n">
        <v>4</v>
      </c>
      <c r="E44" s="43" t="n">
        <v>4</v>
      </c>
      <c r="F44" s="43" t="n">
        <v>4</v>
      </c>
      <c r="G44" s="44" t="n">
        <f aca="false">AVERAGE(B44:F44)</f>
        <v>4.2</v>
      </c>
      <c r="H44" s="45" t="n">
        <f aca="false">G44/$B$7</f>
        <v>0.84</v>
      </c>
      <c r="I44" s="46" t="n">
        <f aca="false">H44-$B$8</f>
        <v>0.83968</v>
      </c>
    </row>
    <row r="45" customFormat="false" ht="19.5" hidden="false" customHeight="true" outlineLevel="0" collapsed="false">
      <c r="A45" s="47" t="s">
        <v>186</v>
      </c>
      <c r="B45" s="47"/>
      <c r="C45" s="47"/>
      <c r="D45" s="47"/>
      <c r="E45" s="47"/>
      <c r="F45" s="47"/>
      <c r="G45" s="47"/>
      <c r="H45" s="47"/>
      <c r="I45" s="48" t="n">
        <f aca="false">AVERAGE(I42:I44)</f>
        <v>0.773013333333333</v>
      </c>
    </row>
    <row r="46" customFormat="false" ht="19.5" hidden="false" customHeight="true" outlineLevel="0" collapsed="false">
      <c r="A46" s="47" t="s">
        <v>187</v>
      </c>
      <c r="B46" s="47"/>
      <c r="C46" s="47"/>
      <c r="D46" s="47"/>
      <c r="E46" s="47"/>
      <c r="F46" s="47"/>
      <c r="G46" s="47"/>
      <c r="H46" s="47"/>
      <c r="I46" s="22" t="str">
        <f aca="false">IF($I$45&gt;=$B$9,"Manter",IF($I$45&gt;=$B$10,"Revisar","Descartar"))</f>
        <v>Revisar</v>
      </c>
    </row>
    <row r="47" customFormat="false" ht="33" hidden="false" customHeight="true" outlineLevel="0" collapsed="false">
      <c r="A47" s="31" t="s">
        <v>188</v>
      </c>
      <c r="B47" s="31"/>
      <c r="C47" s="31"/>
      <c r="D47" s="31"/>
      <c r="E47" s="31"/>
      <c r="F47" s="31"/>
      <c r="G47" s="31"/>
      <c r="H47" s="31"/>
      <c r="I47" s="31"/>
    </row>
    <row r="48" customFormat="false" ht="7.5" hidden="false" customHeight="true" outlineLevel="0" collapsed="false"/>
    <row r="49" customFormat="false" ht="24" hidden="false" customHeight="true" outlineLevel="0" collapsed="false">
      <c r="A49" s="26" t="s">
        <v>189</v>
      </c>
      <c r="B49" s="26"/>
      <c r="C49" s="26"/>
      <c r="D49" s="26"/>
      <c r="E49" s="26"/>
      <c r="F49" s="26"/>
      <c r="G49" s="26"/>
      <c r="H49" s="26"/>
      <c r="I49" s="26"/>
    </row>
    <row r="50" customFormat="false" ht="21.75" hidden="false" customHeight="true" outlineLevel="0" collapsed="false">
      <c r="A50" s="27" t="s">
        <v>190</v>
      </c>
      <c r="B50" s="27" t="s">
        <v>191</v>
      </c>
      <c r="C50" s="27"/>
      <c r="D50" s="27"/>
      <c r="E50" s="27"/>
      <c r="F50" s="27"/>
      <c r="G50" s="27"/>
      <c r="H50" s="27"/>
      <c r="I50" s="27"/>
    </row>
    <row r="51" customFormat="false" ht="33" hidden="false" customHeight="true" outlineLevel="0" collapsed="false">
      <c r="A51" s="28" t="s">
        <v>192</v>
      </c>
      <c r="B51" s="49" t="s">
        <v>193</v>
      </c>
      <c r="C51" s="49"/>
      <c r="D51" s="49"/>
      <c r="E51" s="49"/>
      <c r="F51" s="49"/>
      <c r="G51" s="49"/>
      <c r="H51" s="49"/>
      <c r="I51" s="50" t="n">
        <f aca="false">1-$B$8</f>
        <v>0.99968</v>
      </c>
    </row>
    <row r="52" customFormat="false" ht="33" hidden="false" customHeight="true" outlineLevel="0" collapsed="false">
      <c r="A52" s="28" t="s">
        <v>194</v>
      </c>
      <c r="B52" s="29" t="s">
        <v>195</v>
      </c>
      <c r="C52" s="29"/>
      <c r="D52" s="29"/>
      <c r="E52" s="29"/>
      <c r="F52" s="29"/>
      <c r="G52" s="29"/>
      <c r="H52" s="29"/>
      <c r="I52" s="51" t="n">
        <f aca="false">1/$B$7-$B$8</f>
        <v>0.19968</v>
      </c>
    </row>
    <row r="53" customFormat="false" ht="33" hidden="false" customHeight="true" outlineLevel="0" collapsed="false">
      <c r="A53" s="28" t="s">
        <v>196</v>
      </c>
      <c r="B53" s="29" t="s">
        <v>197</v>
      </c>
      <c r="C53" s="29"/>
      <c r="D53" s="29"/>
      <c r="E53" s="29"/>
      <c r="F53" s="29"/>
      <c r="G53" s="29"/>
      <c r="H53" s="29"/>
      <c r="I53" s="52" t="n">
        <f aca="false">($B$9+$B$8)*$B$7</f>
        <v>4.0016</v>
      </c>
    </row>
    <row r="54" customFormat="false" ht="19.5" hidden="false" customHeight="true" outlineLevel="0" collapsed="false">
      <c r="A54" s="28" t="s">
        <v>198</v>
      </c>
      <c r="B54" s="29" t="s">
        <v>199</v>
      </c>
      <c r="C54" s="29"/>
      <c r="D54" s="29"/>
      <c r="E54" s="29"/>
      <c r="F54" s="29"/>
      <c r="G54" s="29"/>
      <c r="H54" s="29"/>
      <c r="I54" s="52" t="n">
        <f aca="false">($B$10+$B$8)*$B$7</f>
        <v>3.5016</v>
      </c>
    </row>
    <row r="55" customFormat="false" ht="46.5" hidden="false" customHeight="true" outlineLevel="0" collapsed="false">
      <c r="A55" s="28" t="s">
        <v>200</v>
      </c>
      <c r="B55" s="29" t="s">
        <v>201</v>
      </c>
      <c r="C55" s="29"/>
      <c r="D55" s="29"/>
      <c r="E55" s="29"/>
      <c r="F55" s="29"/>
      <c r="G55" s="29"/>
      <c r="H55" s="29"/>
      <c r="I55" s="29"/>
    </row>
    <row r="56" customFormat="false" ht="46.5" hidden="false" customHeight="true" outlineLevel="0" collapsed="false">
      <c r="A56" s="28" t="s">
        <v>202</v>
      </c>
      <c r="B56" s="29" t="s">
        <v>203</v>
      </c>
      <c r="C56" s="29"/>
      <c r="D56" s="29"/>
      <c r="E56" s="29"/>
      <c r="F56" s="29"/>
      <c r="G56" s="29"/>
      <c r="H56" s="29"/>
      <c r="I56" s="29"/>
    </row>
    <row r="57" customFormat="false" ht="7.5" hidden="false" customHeight="true" outlineLevel="0" collapsed="false"/>
    <row r="58" customFormat="false" ht="24" hidden="false" customHeight="true" outlineLevel="0" collapsed="false">
      <c r="A58" s="26" t="s">
        <v>204</v>
      </c>
      <c r="B58" s="26"/>
      <c r="C58" s="26"/>
      <c r="D58" s="26"/>
      <c r="E58" s="26"/>
      <c r="F58" s="26"/>
      <c r="G58" s="26"/>
      <c r="H58" s="26"/>
      <c r="I58" s="26"/>
    </row>
    <row r="59" customFormat="false" ht="21.75" hidden="false" customHeight="true" outlineLevel="0" collapsed="false">
      <c r="A59" s="27" t="s">
        <v>205</v>
      </c>
      <c r="B59" s="27" t="s">
        <v>67</v>
      </c>
      <c r="C59" s="27"/>
      <c r="D59" s="27"/>
      <c r="E59" s="27"/>
      <c r="F59" s="27"/>
      <c r="G59" s="27"/>
      <c r="H59" s="27"/>
      <c r="I59" s="27"/>
    </row>
    <row r="60" customFormat="false" ht="19.5" hidden="false" customHeight="true" outlineLevel="0" collapsed="false">
      <c r="A60" s="28" t="s">
        <v>206</v>
      </c>
      <c r="B60" s="29" t="s">
        <v>207</v>
      </c>
      <c r="C60" s="29"/>
      <c r="D60" s="29"/>
      <c r="E60" s="29"/>
      <c r="F60" s="29"/>
      <c r="G60" s="29"/>
      <c r="H60" s="29"/>
      <c r="I60" s="29"/>
    </row>
    <row r="61" customFormat="false" ht="33" hidden="false" customHeight="true" outlineLevel="0" collapsed="false">
      <c r="A61" s="28" t="s">
        <v>208</v>
      </c>
      <c r="B61" s="29" t="s">
        <v>209</v>
      </c>
      <c r="C61" s="29"/>
      <c r="D61" s="29"/>
      <c r="E61" s="29"/>
      <c r="F61" s="29"/>
      <c r="G61" s="29"/>
      <c r="H61" s="29"/>
      <c r="I61" s="29"/>
    </row>
    <row r="62" customFormat="false" ht="33" hidden="false" customHeight="true" outlineLevel="0" collapsed="false">
      <c r="A62" s="28" t="s">
        <v>210</v>
      </c>
      <c r="B62" s="29" t="s">
        <v>211</v>
      </c>
      <c r="C62" s="29"/>
      <c r="D62" s="29"/>
      <c r="E62" s="29"/>
      <c r="F62" s="29"/>
      <c r="G62" s="29"/>
      <c r="H62" s="29"/>
      <c r="I62" s="29"/>
    </row>
    <row r="63" customFormat="false" ht="19.5" hidden="false" customHeight="true" outlineLevel="0" collapsed="false">
      <c r="A63" s="28" t="s">
        <v>212</v>
      </c>
      <c r="B63" s="29" t="s">
        <v>213</v>
      </c>
      <c r="C63" s="29"/>
      <c r="D63" s="29"/>
      <c r="E63" s="29"/>
      <c r="F63" s="29"/>
      <c r="G63" s="29"/>
      <c r="H63" s="29"/>
      <c r="I63" s="29"/>
    </row>
    <row r="64" customFormat="false" ht="33" hidden="false" customHeight="true" outlineLevel="0" collapsed="false">
      <c r="A64" s="28" t="s">
        <v>214</v>
      </c>
      <c r="B64" s="29" t="s">
        <v>215</v>
      </c>
      <c r="C64" s="29"/>
      <c r="D64" s="29"/>
      <c r="E64" s="29"/>
      <c r="F64" s="29"/>
      <c r="G64" s="29"/>
      <c r="H64" s="29"/>
      <c r="I64" s="29"/>
    </row>
    <row r="65" customFormat="false" ht="33" hidden="false" customHeight="true" outlineLevel="0" collapsed="false">
      <c r="A65" s="28" t="s">
        <v>216</v>
      </c>
      <c r="B65" s="29" t="s">
        <v>217</v>
      </c>
      <c r="C65" s="29"/>
      <c r="D65" s="29"/>
      <c r="E65" s="29"/>
      <c r="F65" s="29"/>
      <c r="G65" s="29"/>
      <c r="H65" s="29"/>
      <c r="I65" s="29"/>
    </row>
    <row r="66" customFormat="false" ht="33" hidden="false" customHeight="true" outlineLevel="0" collapsed="false">
      <c r="A66" s="28" t="s">
        <v>218</v>
      </c>
      <c r="B66" s="29" t="s">
        <v>219</v>
      </c>
      <c r="C66" s="29"/>
      <c r="D66" s="29"/>
      <c r="E66" s="29"/>
      <c r="F66" s="29"/>
      <c r="G66" s="29"/>
      <c r="H66" s="29"/>
      <c r="I66" s="29"/>
    </row>
    <row r="67" customFormat="false" ht="7.5" hidden="false" customHeight="true" outlineLevel="0" collapsed="false"/>
    <row r="68" customFormat="false" ht="24" hidden="false" customHeight="true" outlineLevel="0" collapsed="false">
      <c r="A68" s="26" t="s">
        <v>220</v>
      </c>
      <c r="B68" s="26"/>
      <c r="C68" s="26"/>
      <c r="D68" s="26"/>
      <c r="E68" s="26"/>
      <c r="F68" s="26"/>
      <c r="G68" s="26"/>
      <c r="H68" s="26"/>
      <c r="I68" s="26"/>
    </row>
    <row r="69" customFormat="false" ht="33" hidden="false" customHeight="true" outlineLevel="0" collapsed="false">
      <c r="A69" s="29" t="s">
        <v>221</v>
      </c>
      <c r="B69" s="29"/>
      <c r="C69" s="29"/>
      <c r="D69" s="29"/>
      <c r="E69" s="29"/>
      <c r="F69" s="29"/>
      <c r="G69" s="29"/>
      <c r="H69" s="29"/>
      <c r="I69" s="29"/>
    </row>
    <row r="70" customFormat="false" ht="33" hidden="false" customHeight="true" outlineLevel="0" collapsed="false">
      <c r="A70" s="29" t="s">
        <v>222</v>
      </c>
      <c r="B70" s="29"/>
      <c r="C70" s="29"/>
      <c r="D70" s="29"/>
      <c r="E70" s="29"/>
      <c r="F70" s="29"/>
      <c r="G70" s="29"/>
      <c r="H70" s="29"/>
      <c r="I70" s="29"/>
    </row>
    <row r="71" customFormat="false" ht="33" hidden="false" customHeight="true" outlineLevel="0" collapsed="false">
      <c r="A71" s="29" t="s">
        <v>223</v>
      </c>
      <c r="B71" s="29"/>
      <c r="C71" s="29"/>
      <c r="D71" s="29"/>
      <c r="E71" s="29"/>
      <c r="F71" s="29"/>
      <c r="G71" s="29"/>
      <c r="H71" s="29"/>
      <c r="I71" s="29"/>
    </row>
    <row r="72" customFormat="false" ht="33" hidden="false" customHeight="true" outlineLevel="0" collapsed="false">
      <c r="A72" s="29" t="s">
        <v>224</v>
      </c>
      <c r="B72" s="29"/>
      <c r="C72" s="29"/>
      <c r="D72" s="29"/>
      <c r="E72" s="29"/>
      <c r="F72" s="29"/>
      <c r="G72" s="29"/>
      <c r="H72" s="29"/>
      <c r="I72" s="29"/>
    </row>
  </sheetData>
  <mergeCells count="58">
    <mergeCell ref="A1:I1"/>
    <mergeCell ref="A2:I2"/>
    <mergeCell ref="A4:I4"/>
    <mergeCell ref="C5:I5"/>
    <mergeCell ref="C6:I6"/>
    <mergeCell ref="C7:I7"/>
    <mergeCell ref="C8:I8"/>
    <mergeCell ref="C9:I9"/>
    <mergeCell ref="C10:I10"/>
    <mergeCell ref="A11:I11"/>
    <mergeCell ref="A13:I13"/>
    <mergeCell ref="A14:I14"/>
    <mergeCell ref="B15:I15"/>
    <mergeCell ref="B16:I16"/>
    <mergeCell ref="B17:I17"/>
    <mergeCell ref="A19:I19"/>
    <mergeCell ref="B20:I20"/>
    <mergeCell ref="B21:I21"/>
    <mergeCell ref="B22:I22"/>
    <mergeCell ref="A24:I24"/>
    <mergeCell ref="B25:I25"/>
    <mergeCell ref="B26:I26"/>
    <mergeCell ref="B27:I27"/>
    <mergeCell ref="A29:I29"/>
    <mergeCell ref="B30:I30"/>
    <mergeCell ref="B31:I31"/>
    <mergeCell ref="B32:I32"/>
    <mergeCell ref="A34:I34"/>
    <mergeCell ref="B35:I35"/>
    <mergeCell ref="B36:I36"/>
    <mergeCell ref="B37:I37"/>
    <mergeCell ref="A39:I39"/>
    <mergeCell ref="A40:I40"/>
    <mergeCell ref="A45:H45"/>
    <mergeCell ref="A46:H46"/>
    <mergeCell ref="A47:I47"/>
    <mergeCell ref="A49:I49"/>
    <mergeCell ref="B50:I50"/>
    <mergeCell ref="B51:H51"/>
    <mergeCell ref="B52:H52"/>
    <mergeCell ref="B53:H53"/>
    <mergeCell ref="B54:H54"/>
    <mergeCell ref="B55:I55"/>
    <mergeCell ref="B56:I56"/>
    <mergeCell ref="A58:I58"/>
    <mergeCell ref="B59:I59"/>
    <mergeCell ref="B60:I60"/>
    <mergeCell ref="B61:I61"/>
    <mergeCell ref="B62:I62"/>
    <mergeCell ref="B63:I63"/>
    <mergeCell ref="B64:I64"/>
    <mergeCell ref="B65:I65"/>
    <mergeCell ref="B66:I66"/>
    <mergeCell ref="A68:I68"/>
    <mergeCell ref="A69:I69"/>
    <mergeCell ref="A70:I70"/>
    <mergeCell ref="A71:I71"/>
    <mergeCell ref="A72:I7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A6A6A6"/>
    <pageSetUpPr fitToPage="tru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0"/>
    <col collapsed="false" customWidth="true" hidden="false" outlineLevel="0" max="3" min="3" style="1" width="56"/>
    <col collapsed="false" customWidth="true" hidden="false" outlineLevel="0" max="4" min="4" style="1" width="44"/>
    <col collapsed="false" customWidth="true" hidden="false" outlineLevel="0" max="5" min="5" style="1" width="12"/>
    <col collapsed="false" customWidth="true" hidden="false" outlineLevel="0" max="6" min="6" style="1" width="52"/>
  </cols>
  <sheetData>
    <row r="1" customFormat="false" ht="36" hidden="false" customHeight="true" outlineLevel="0" collapsed="false">
      <c r="A1" s="5" t="s">
        <v>225</v>
      </c>
      <c r="B1" s="5" t="s">
        <v>226</v>
      </c>
      <c r="C1" s="5" t="s">
        <v>227</v>
      </c>
      <c r="D1" s="5" t="s">
        <v>228</v>
      </c>
      <c r="E1" s="5" t="s">
        <v>229</v>
      </c>
      <c r="F1" s="5" t="s">
        <v>4</v>
      </c>
    </row>
    <row r="2" customFormat="false" ht="37.5" hidden="false" customHeight="true" outlineLevel="0" collapsed="false">
      <c r="A2" s="53" t="s">
        <v>230</v>
      </c>
      <c r="B2" s="6" t="s">
        <v>231</v>
      </c>
      <c r="C2" s="14" t="s">
        <v>232</v>
      </c>
      <c r="D2" s="14" t="s">
        <v>233</v>
      </c>
      <c r="E2" s="30" t="n">
        <f aca="false">COUNTIF('Avaliação CVC'!$B$6:$B$175,A2)</f>
        <v>36</v>
      </c>
      <c r="F2" s="54" t="s">
        <v>234</v>
      </c>
    </row>
    <row r="3" customFormat="false" ht="37.5" hidden="false" customHeight="true" outlineLevel="0" collapsed="false">
      <c r="A3" s="55" t="s">
        <v>235</v>
      </c>
      <c r="B3" s="6" t="s">
        <v>236</v>
      </c>
      <c r="C3" s="14" t="s">
        <v>237</v>
      </c>
      <c r="D3" s="14" t="s">
        <v>238</v>
      </c>
      <c r="E3" s="30" t="n">
        <f aca="false">COUNTIF('Avaliação CVC'!$B$6:$B$175,A3)</f>
        <v>38</v>
      </c>
      <c r="F3" s="54" t="s">
        <v>239</v>
      </c>
    </row>
    <row r="4" customFormat="false" ht="37.5" hidden="false" customHeight="true" outlineLevel="0" collapsed="false">
      <c r="A4" s="56" t="s">
        <v>240</v>
      </c>
      <c r="B4" s="6" t="s">
        <v>241</v>
      </c>
      <c r="C4" s="14" t="s">
        <v>242</v>
      </c>
      <c r="D4" s="14" t="s">
        <v>243</v>
      </c>
      <c r="E4" s="30" t="n">
        <f aca="false">COUNTIF('Avaliação CVC'!$B$6:$B$175,A4)</f>
        <v>35</v>
      </c>
      <c r="F4" s="54" t="s">
        <v>244</v>
      </c>
    </row>
    <row r="5" customFormat="false" ht="37.5" hidden="false" customHeight="true" outlineLevel="0" collapsed="false">
      <c r="A5" s="57" t="s">
        <v>245</v>
      </c>
      <c r="B5" s="6" t="s">
        <v>246</v>
      </c>
      <c r="C5" s="14" t="s">
        <v>247</v>
      </c>
      <c r="D5" s="14" t="s">
        <v>248</v>
      </c>
      <c r="E5" s="30" t="n">
        <f aca="false">COUNTIF('Avaliação CVC'!$B$6:$B$175,A5)</f>
        <v>37</v>
      </c>
      <c r="F5" s="54" t="s">
        <v>244</v>
      </c>
    </row>
    <row r="6" customFormat="false" ht="66" hidden="false" customHeight="true" outlineLevel="0" collapsed="false">
      <c r="A6" s="58" t="s">
        <v>249</v>
      </c>
      <c r="B6" s="6" t="s">
        <v>250</v>
      </c>
      <c r="C6" s="14" t="s">
        <v>251</v>
      </c>
      <c r="D6" s="14" t="s">
        <v>252</v>
      </c>
      <c r="E6" s="30" t="n">
        <f aca="false">COUNTIF('Avaliação CVC'!$B$6:$B$175,A6)</f>
        <v>9</v>
      </c>
      <c r="F6" s="54" t="s">
        <v>253</v>
      </c>
    </row>
    <row r="7" customFormat="false" ht="24" hidden="false" customHeight="true" outlineLevel="0" collapsed="false">
      <c r="A7" s="59"/>
      <c r="B7" s="59"/>
      <c r="C7" s="59"/>
      <c r="D7" s="60" t="s">
        <v>254</v>
      </c>
      <c r="E7" s="61" t="n">
        <f aca="false">SUM(E2:E6)</f>
        <v>155</v>
      </c>
      <c r="F7" s="59"/>
    </row>
    <row r="9" customFormat="false" ht="21.75" hidden="false" customHeight="true" outlineLevel="0" collapsed="false">
      <c r="A9" s="3" t="s">
        <v>255</v>
      </c>
      <c r="B9" s="3"/>
      <c r="C9" s="3"/>
      <c r="D9" s="3"/>
      <c r="E9" s="3"/>
      <c r="F9" s="3"/>
    </row>
  </sheetData>
  <mergeCells count="1">
    <mergeCell ref="A9:F9"/>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AB1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6796875" defaultRowHeight="15" zeroHeight="false" outlineLevelRow="0" outlineLevelCol="1"/>
  <cols>
    <col collapsed="false" customWidth="true" hidden="false" outlineLevel="0" max="1" min="1" style="1" width="9"/>
    <col collapsed="false" customWidth="true" hidden="true" outlineLevel="1" max="5" min="2" style="1" width="6"/>
    <col collapsed="false" customWidth="true" hidden="false" outlineLevel="0" max="6" min="6" style="1" width="58"/>
    <col collapsed="false" customWidth="true" hidden="false" outlineLevel="0" max="7" min="7" style="0" width="1.51"/>
    <col collapsed="false" customWidth="true" hidden="false" outlineLevel="0" max="22" min="8" style="1" width="5.6"/>
    <col collapsed="false" customWidth="true" hidden="false" outlineLevel="0" max="23" min="23" style="1" width="12"/>
    <col collapsed="false" customWidth="true" hidden="false" outlineLevel="0" max="25" min="24" style="1" width="13"/>
    <col collapsed="false" customWidth="true" hidden="false" outlineLevel="0" max="26" min="26" style="1" width="12"/>
    <col collapsed="false" customWidth="true" hidden="false" outlineLevel="0" max="27" min="27" style="1" width="13"/>
    <col collapsed="false" customWidth="true" hidden="false" outlineLevel="0" max="28" min="28" style="1" width="46"/>
  </cols>
  <sheetData>
    <row r="1" customFormat="false" ht="27.75" hidden="false" customHeight="true" outlineLevel="0" collapsed="false">
      <c r="A1" s="2" t="s">
        <v>256</v>
      </c>
    </row>
    <row r="2" customFormat="false" ht="18" hidden="false" customHeight="true" outlineLevel="0" collapsed="false">
      <c r="A2" s="62" t="s">
        <v>257</v>
      </c>
    </row>
    <row r="3" customFormat="false" ht="19.5" hidden="false" customHeight="true" outlineLevel="0" collapsed="false">
      <c r="A3" s="63" t="s">
        <v>258</v>
      </c>
    </row>
    <row r="4" customFormat="false" ht="31.5" hidden="false" customHeight="true" outlineLevel="0" collapsed="false">
      <c r="A4" s="5" t="s">
        <v>114</v>
      </c>
      <c r="B4" s="5" t="s">
        <v>116</v>
      </c>
      <c r="C4" s="5" t="s">
        <v>118</v>
      </c>
      <c r="D4" s="5" t="s">
        <v>120</v>
      </c>
      <c r="E4" s="5" t="s">
        <v>122</v>
      </c>
      <c r="F4" s="4" t="s">
        <v>259</v>
      </c>
      <c r="H4" s="64" t="s">
        <v>24</v>
      </c>
      <c r="I4" s="64"/>
      <c r="J4" s="64"/>
      <c r="K4" s="64"/>
      <c r="L4" s="64"/>
      <c r="M4" s="65" t="s">
        <v>26</v>
      </c>
      <c r="N4" s="65"/>
      <c r="O4" s="65"/>
      <c r="P4" s="65"/>
      <c r="Q4" s="65"/>
      <c r="R4" s="66" t="s">
        <v>28</v>
      </c>
      <c r="S4" s="66"/>
      <c r="T4" s="66"/>
      <c r="U4" s="66"/>
      <c r="V4" s="66"/>
      <c r="W4" s="67" t="s">
        <v>260</v>
      </c>
      <c r="X4" s="68" t="s">
        <v>261</v>
      </c>
      <c r="Y4" s="68" t="s">
        <v>262</v>
      </c>
      <c r="Z4" s="68" t="s">
        <v>263</v>
      </c>
      <c r="AA4" s="69" t="s">
        <v>131</v>
      </c>
      <c r="AB4" s="64" t="s">
        <v>264</v>
      </c>
    </row>
    <row r="5" customFormat="false" ht="19.5" hidden="false" customHeight="true" outlineLevel="0" collapsed="false">
      <c r="A5" s="5"/>
      <c r="B5" s="5"/>
      <c r="C5" s="5"/>
      <c r="D5" s="5"/>
      <c r="E5" s="5"/>
      <c r="F5" s="5"/>
      <c r="H5" s="70" t="s">
        <v>35</v>
      </c>
      <c r="I5" s="71" t="s">
        <v>36</v>
      </c>
      <c r="J5" s="71" t="s">
        <v>37</v>
      </c>
      <c r="K5" s="71" t="s">
        <v>38</v>
      </c>
      <c r="L5" s="71" t="s">
        <v>39</v>
      </c>
      <c r="M5" s="70" t="s">
        <v>35</v>
      </c>
      <c r="N5" s="71" t="s">
        <v>36</v>
      </c>
      <c r="O5" s="71" t="s">
        <v>37</v>
      </c>
      <c r="P5" s="71" t="s">
        <v>38</v>
      </c>
      <c r="Q5" s="71" t="s">
        <v>39</v>
      </c>
      <c r="R5" s="70" t="s">
        <v>35</v>
      </c>
      <c r="S5" s="71" t="s">
        <v>36</v>
      </c>
      <c r="T5" s="71" t="s">
        <v>37</v>
      </c>
      <c r="U5" s="71" t="s">
        <v>38</v>
      </c>
      <c r="V5" s="72" t="s">
        <v>39</v>
      </c>
      <c r="W5" s="67"/>
      <c r="X5" s="68"/>
      <c r="Y5" s="68"/>
      <c r="Z5" s="68"/>
      <c r="AA5" s="69"/>
      <c r="AB5" s="64"/>
    </row>
    <row r="6" customFormat="false" ht="51.75" hidden="false" customHeight="true" outlineLevel="0" collapsed="false">
      <c r="A6" s="73" t="s">
        <v>265</v>
      </c>
      <c r="B6" s="73"/>
      <c r="C6" s="73"/>
      <c r="D6" s="73"/>
      <c r="E6" s="73"/>
      <c r="F6" s="73"/>
      <c r="G6" s="74"/>
      <c r="H6" s="75"/>
      <c r="I6" s="74"/>
      <c r="J6" s="74"/>
      <c r="K6" s="74"/>
      <c r="L6" s="74"/>
      <c r="M6" s="75"/>
      <c r="N6" s="74"/>
      <c r="O6" s="74"/>
      <c r="P6" s="74"/>
      <c r="Q6" s="74"/>
      <c r="R6" s="75"/>
      <c r="S6" s="74"/>
      <c r="T6" s="74"/>
      <c r="U6" s="74"/>
      <c r="V6" s="76"/>
      <c r="W6" s="75"/>
      <c r="X6" s="74"/>
      <c r="Y6" s="74"/>
      <c r="Z6" s="74"/>
      <c r="AA6" s="75"/>
      <c r="AB6" s="75"/>
    </row>
    <row r="7" customFormat="false" ht="51.75" hidden="false" customHeight="true" outlineLevel="0" collapsed="false">
      <c r="A7" s="77" t="s">
        <v>266</v>
      </c>
      <c r="B7" s="78" t="s">
        <v>230</v>
      </c>
      <c r="C7" s="79" t="s">
        <v>267</v>
      </c>
      <c r="D7" s="80" t="s">
        <v>118</v>
      </c>
      <c r="E7" s="81" t="s">
        <v>268</v>
      </c>
      <c r="F7" s="82" t="s">
        <v>269</v>
      </c>
      <c r="H7" s="83"/>
      <c r="I7" s="84"/>
      <c r="J7" s="84"/>
      <c r="K7" s="84"/>
      <c r="L7" s="84"/>
      <c r="M7" s="83"/>
      <c r="N7" s="84"/>
      <c r="O7" s="84"/>
      <c r="P7" s="84"/>
      <c r="Q7" s="84"/>
      <c r="R7" s="83"/>
      <c r="S7" s="84"/>
      <c r="T7" s="84"/>
      <c r="U7" s="84"/>
      <c r="V7" s="85"/>
      <c r="W7" s="86" t="str">
        <f aca="false">IF(COUNT(H7:L7)&lt;Instruções!$B$5,"",AVERAGE(H7:L7)/Instruções!$B$6-Instruções!$B$7)</f>
        <v/>
      </c>
      <c r="X7" s="87" t="str">
        <f aca="false">IF(COUNT(M7:Q7)&lt;Instruções!$B$5,"",AVERAGE(M7:Q7)/Instruções!$B$6-Instruções!$B$7)</f>
        <v/>
      </c>
      <c r="Y7" s="87" t="str">
        <f aca="false">IF(COUNT(R7:V7)&lt;Instruções!$B$5,"",AVERAGE(R7:V7)/Instruções!$B$6-Instruções!$B$7)</f>
        <v/>
      </c>
      <c r="Z7" s="88" t="str">
        <f aca="false">IF(OR(W7="",X7="",Y7=""),"",AVERAGE(W7:Y7))</f>
        <v/>
      </c>
      <c r="AA7" s="89" t="str">
        <f aca="false">IF(Z7="","",IF(Z7&gt;=Instruções!$B$8,"Manter",IF(Z7&gt;=Instruções!$B$9,"Revisar","Descartar")))</f>
        <v/>
      </c>
      <c r="AB7" s="90"/>
    </row>
    <row r="8" customFormat="false" ht="51.75" hidden="false" customHeight="true" outlineLevel="0" collapsed="false">
      <c r="A8" s="91" t="s">
        <v>270</v>
      </c>
      <c r="B8" s="92" t="s">
        <v>230</v>
      </c>
      <c r="C8" s="93" t="s">
        <v>267</v>
      </c>
      <c r="D8" s="94" t="s">
        <v>271</v>
      </c>
      <c r="E8" s="95" t="s">
        <v>272</v>
      </c>
      <c r="F8" s="96" t="s">
        <v>273</v>
      </c>
      <c r="H8" s="97"/>
      <c r="I8" s="98"/>
      <c r="J8" s="98"/>
      <c r="K8" s="98"/>
      <c r="L8" s="98"/>
      <c r="M8" s="97"/>
      <c r="N8" s="98"/>
      <c r="O8" s="98"/>
      <c r="P8" s="98"/>
      <c r="Q8" s="98"/>
      <c r="R8" s="97"/>
      <c r="S8" s="98"/>
      <c r="T8" s="98"/>
      <c r="U8" s="98"/>
      <c r="V8" s="99"/>
      <c r="W8" s="100" t="str">
        <f aca="false">IF(COUNT(H8:L8)&lt;Instruções!$B$5,"",AVERAGE(H8:L8)/Instruções!$B$6-Instruções!$B$7)</f>
        <v/>
      </c>
      <c r="X8" s="101" t="str">
        <f aca="false">IF(COUNT(M8:Q8)&lt;Instruções!$B$5,"",AVERAGE(M8:Q8)/Instruções!$B$6-Instruções!$B$7)</f>
        <v/>
      </c>
      <c r="Y8" s="101" t="str">
        <f aca="false">IF(COUNT(R8:V8)&lt;Instruções!$B$5,"",AVERAGE(R8:V8)/Instruções!$B$6-Instruções!$B$7)</f>
        <v/>
      </c>
      <c r="Z8" s="102" t="str">
        <f aca="false">IF(OR(W8="",X8="",Y8=""),"",AVERAGE(W8:Y8))</f>
        <v/>
      </c>
      <c r="AA8" s="103" t="str">
        <f aca="false">IF(Z8="","",IF(Z8&gt;=Instruções!$B$8,"Manter",IF(Z8&gt;=Instruções!$B$9,"Revisar","Descartar")))</f>
        <v/>
      </c>
      <c r="AB8" s="104"/>
    </row>
    <row r="9" customFormat="false" ht="51.75" hidden="false" customHeight="true" outlineLevel="0" collapsed="false">
      <c r="A9" s="91" t="s">
        <v>274</v>
      </c>
      <c r="B9" s="92" t="s">
        <v>230</v>
      </c>
      <c r="C9" s="93" t="s">
        <v>267</v>
      </c>
      <c r="D9" s="94" t="s">
        <v>271</v>
      </c>
      <c r="E9" s="95" t="s">
        <v>275</v>
      </c>
      <c r="F9" s="96" t="s">
        <v>276</v>
      </c>
      <c r="H9" s="97"/>
      <c r="I9" s="98"/>
      <c r="J9" s="98"/>
      <c r="K9" s="98"/>
      <c r="L9" s="98"/>
      <c r="M9" s="97"/>
      <c r="N9" s="98"/>
      <c r="O9" s="98"/>
      <c r="P9" s="98"/>
      <c r="Q9" s="98"/>
      <c r="R9" s="97"/>
      <c r="S9" s="98"/>
      <c r="T9" s="98"/>
      <c r="U9" s="98"/>
      <c r="V9" s="99"/>
      <c r="W9" s="100" t="str">
        <f aca="false">IF(COUNT(H9:L9)&lt;Instruções!$B$5,"",AVERAGE(H9:L9)/Instruções!$B$6-Instruções!$B$7)</f>
        <v/>
      </c>
      <c r="X9" s="101" t="str">
        <f aca="false">IF(COUNT(M9:Q9)&lt;Instruções!$B$5,"",AVERAGE(M9:Q9)/Instruções!$B$6-Instruções!$B$7)</f>
        <v/>
      </c>
      <c r="Y9" s="101" t="str">
        <f aca="false">IF(COUNT(R9:V9)&lt;Instruções!$B$5,"",AVERAGE(R9:V9)/Instruções!$B$6-Instruções!$B$7)</f>
        <v/>
      </c>
      <c r="Z9" s="102" t="str">
        <f aca="false">IF(OR(W9="",X9="",Y9=""),"",AVERAGE(W9:Y9))</f>
        <v/>
      </c>
      <c r="AA9" s="103" t="str">
        <f aca="false">IF(Z9="","",IF(Z9&gt;=Instruções!$B$8,"Manter",IF(Z9&gt;=Instruções!$B$9,"Revisar","Descartar")))</f>
        <v/>
      </c>
      <c r="AB9" s="104"/>
    </row>
    <row r="10" customFormat="false" ht="51.75" hidden="false" customHeight="true" outlineLevel="0" collapsed="false">
      <c r="A10" s="91" t="s">
        <v>277</v>
      </c>
      <c r="B10" s="92" t="s">
        <v>230</v>
      </c>
      <c r="C10" s="93" t="s">
        <v>267</v>
      </c>
      <c r="D10" s="94" t="s">
        <v>271</v>
      </c>
      <c r="E10" s="95" t="s">
        <v>278</v>
      </c>
      <c r="F10" s="96" t="s">
        <v>279</v>
      </c>
      <c r="H10" s="97"/>
      <c r="I10" s="98"/>
      <c r="J10" s="98"/>
      <c r="K10" s="98"/>
      <c r="L10" s="98"/>
      <c r="M10" s="97"/>
      <c r="N10" s="98"/>
      <c r="O10" s="98"/>
      <c r="P10" s="98"/>
      <c r="Q10" s="98"/>
      <c r="R10" s="97"/>
      <c r="S10" s="98"/>
      <c r="T10" s="98"/>
      <c r="U10" s="98"/>
      <c r="V10" s="99"/>
      <c r="W10" s="100" t="str">
        <f aca="false">IF(COUNT(H10:L10)&lt;Instruções!$B$5,"",AVERAGE(H10:L10)/Instruções!$B$6-Instruções!$B$7)</f>
        <v/>
      </c>
      <c r="X10" s="101" t="str">
        <f aca="false">IF(COUNT(M10:Q10)&lt;Instruções!$B$5,"",AVERAGE(M10:Q10)/Instruções!$B$6-Instruções!$B$7)</f>
        <v/>
      </c>
      <c r="Y10" s="101" t="str">
        <f aca="false">IF(COUNT(R10:V10)&lt;Instruções!$B$5,"",AVERAGE(R10:V10)/Instruções!$B$6-Instruções!$B$7)</f>
        <v/>
      </c>
      <c r="Z10" s="102" t="str">
        <f aca="false">IF(OR(W10="",X10="",Y10=""),"",AVERAGE(W10:Y10))</f>
        <v/>
      </c>
      <c r="AA10" s="103" t="str">
        <f aca="false">IF(Z10="","",IF(Z10&gt;=Instruções!$B$8,"Manter",IF(Z10&gt;=Instruções!$B$9,"Revisar","Descartar")))</f>
        <v/>
      </c>
      <c r="AB10" s="104"/>
    </row>
    <row r="11" customFormat="false" ht="51.75" hidden="false" customHeight="true" outlineLevel="0" collapsed="false">
      <c r="A11" s="77" t="s">
        <v>280</v>
      </c>
      <c r="B11" s="105" t="s">
        <v>230</v>
      </c>
      <c r="C11" s="106" t="s">
        <v>281</v>
      </c>
      <c r="D11" s="107" t="s">
        <v>118</v>
      </c>
      <c r="E11" s="108" t="s">
        <v>282</v>
      </c>
      <c r="F11" s="109" t="s">
        <v>283</v>
      </c>
      <c r="H11" s="83"/>
      <c r="I11" s="84"/>
      <c r="J11" s="84"/>
      <c r="K11" s="84"/>
      <c r="L11" s="84"/>
      <c r="M11" s="83"/>
      <c r="N11" s="84"/>
      <c r="O11" s="84"/>
      <c r="P11" s="84"/>
      <c r="Q11" s="84"/>
      <c r="R11" s="83"/>
      <c r="S11" s="84"/>
      <c r="T11" s="84"/>
      <c r="U11" s="84"/>
      <c r="V11" s="85"/>
      <c r="W11" s="86" t="str">
        <f aca="false">IF(COUNT(H11:L11)&lt;Instruções!$B$5,"",AVERAGE(H11:L11)/Instruções!$B$6-Instruções!$B$7)</f>
        <v/>
      </c>
      <c r="X11" s="87" t="str">
        <f aca="false">IF(COUNT(M11:Q11)&lt;Instruções!$B$5,"",AVERAGE(M11:Q11)/Instruções!$B$6-Instruções!$B$7)</f>
        <v/>
      </c>
      <c r="Y11" s="87" t="str">
        <f aca="false">IF(COUNT(R11:V11)&lt;Instruções!$B$5,"",AVERAGE(R11:V11)/Instruções!$B$6-Instruções!$B$7)</f>
        <v/>
      </c>
      <c r="Z11" s="88" t="str">
        <f aca="false">IF(OR(W11="",X11="",Y11=""),"",AVERAGE(W11:Y11))</f>
        <v/>
      </c>
      <c r="AA11" s="89" t="str">
        <f aca="false">IF(Z11="","",IF(Z11&gt;=Instruções!$B$8,"Manter",IF(Z11&gt;=Instruções!$B$9,"Revisar","Descartar")))</f>
        <v/>
      </c>
      <c r="AB11" s="110"/>
    </row>
    <row r="12" customFormat="false" ht="51.75" hidden="false" customHeight="true" outlineLevel="0" collapsed="false">
      <c r="A12" s="91" t="s">
        <v>284</v>
      </c>
      <c r="B12" s="111" t="s">
        <v>230</v>
      </c>
      <c r="C12" s="112" t="s">
        <v>281</v>
      </c>
      <c r="D12" s="113" t="s">
        <v>271</v>
      </c>
      <c r="E12" s="114" t="s">
        <v>272</v>
      </c>
      <c r="F12" s="115" t="s">
        <v>285</v>
      </c>
      <c r="H12" s="97"/>
      <c r="I12" s="98"/>
      <c r="J12" s="98"/>
      <c r="K12" s="98"/>
      <c r="L12" s="98"/>
      <c r="M12" s="97"/>
      <c r="N12" s="98"/>
      <c r="O12" s="98"/>
      <c r="P12" s="98"/>
      <c r="Q12" s="98"/>
      <c r="R12" s="97"/>
      <c r="S12" s="98"/>
      <c r="T12" s="98"/>
      <c r="U12" s="98"/>
      <c r="V12" s="99"/>
      <c r="W12" s="100" t="str">
        <f aca="false">IF(COUNT(H12:L12)&lt;Instruções!$B$5,"",AVERAGE(H12:L12)/Instruções!$B$6-Instruções!$B$7)</f>
        <v/>
      </c>
      <c r="X12" s="101" t="str">
        <f aca="false">IF(COUNT(M12:Q12)&lt;Instruções!$B$5,"",AVERAGE(M12:Q12)/Instruções!$B$6-Instruções!$B$7)</f>
        <v/>
      </c>
      <c r="Y12" s="101" t="str">
        <f aca="false">IF(COUNT(R12:V12)&lt;Instruções!$B$5,"",AVERAGE(R12:V12)/Instruções!$B$6-Instruções!$B$7)</f>
        <v/>
      </c>
      <c r="Z12" s="102" t="str">
        <f aca="false">IF(OR(W12="",X12="",Y12=""),"",AVERAGE(W12:Y12))</f>
        <v/>
      </c>
      <c r="AA12" s="103" t="str">
        <f aca="false">IF(Z12="","",IF(Z12&gt;=Instruções!$B$8,"Manter",IF(Z12&gt;=Instruções!$B$9,"Revisar","Descartar")))</f>
        <v/>
      </c>
      <c r="AB12" s="116"/>
    </row>
    <row r="13" customFormat="false" ht="37.5" hidden="false" customHeight="true" outlineLevel="0" collapsed="false">
      <c r="A13" s="91" t="s">
        <v>286</v>
      </c>
      <c r="B13" s="111" t="s">
        <v>230</v>
      </c>
      <c r="C13" s="112" t="s">
        <v>281</v>
      </c>
      <c r="D13" s="113" t="s">
        <v>271</v>
      </c>
      <c r="E13" s="114" t="s">
        <v>275</v>
      </c>
      <c r="F13" s="115" t="s">
        <v>287</v>
      </c>
      <c r="H13" s="97"/>
      <c r="I13" s="98"/>
      <c r="J13" s="98"/>
      <c r="K13" s="98"/>
      <c r="L13" s="98"/>
      <c r="M13" s="97"/>
      <c r="N13" s="98"/>
      <c r="O13" s="98"/>
      <c r="P13" s="98"/>
      <c r="Q13" s="98"/>
      <c r="R13" s="97"/>
      <c r="S13" s="98"/>
      <c r="T13" s="98"/>
      <c r="U13" s="98"/>
      <c r="V13" s="99"/>
      <c r="W13" s="100" t="str">
        <f aca="false">IF(COUNT(H13:L13)&lt;Instruções!$B$5,"",AVERAGE(H13:L13)/Instruções!$B$6-Instruções!$B$7)</f>
        <v/>
      </c>
      <c r="X13" s="101" t="str">
        <f aca="false">IF(COUNT(M13:Q13)&lt;Instruções!$B$5,"",AVERAGE(M13:Q13)/Instruções!$B$6-Instruções!$B$7)</f>
        <v/>
      </c>
      <c r="Y13" s="101" t="str">
        <f aca="false">IF(COUNT(R13:V13)&lt;Instruções!$B$5,"",AVERAGE(R13:V13)/Instruções!$B$6-Instruções!$B$7)</f>
        <v/>
      </c>
      <c r="Z13" s="102" t="str">
        <f aca="false">IF(OR(W13="",X13="",Y13=""),"",AVERAGE(W13:Y13))</f>
        <v/>
      </c>
      <c r="AA13" s="103" t="str">
        <f aca="false">IF(Z13="","",IF(Z13&gt;=Instruções!$B$8,"Manter",IF(Z13&gt;=Instruções!$B$9,"Revisar","Descartar")))</f>
        <v/>
      </c>
      <c r="AB13" s="116"/>
    </row>
    <row r="14" customFormat="false" ht="51.75" hidden="false" customHeight="true" outlineLevel="0" collapsed="false">
      <c r="A14" s="77" t="s">
        <v>288</v>
      </c>
      <c r="B14" s="78" t="s">
        <v>230</v>
      </c>
      <c r="C14" s="79" t="s">
        <v>289</v>
      </c>
      <c r="D14" s="80" t="s">
        <v>118</v>
      </c>
      <c r="E14" s="81" t="s">
        <v>268</v>
      </c>
      <c r="F14" s="82" t="s">
        <v>290</v>
      </c>
      <c r="H14" s="83"/>
      <c r="I14" s="84"/>
      <c r="J14" s="84"/>
      <c r="K14" s="84"/>
      <c r="L14" s="84"/>
      <c r="M14" s="83"/>
      <c r="N14" s="84"/>
      <c r="O14" s="84"/>
      <c r="P14" s="84"/>
      <c r="Q14" s="84"/>
      <c r="R14" s="83"/>
      <c r="S14" s="84"/>
      <c r="T14" s="84"/>
      <c r="U14" s="84"/>
      <c r="V14" s="85"/>
      <c r="W14" s="86" t="str">
        <f aca="false">IF(COUNT(H14:L14)&lt;Instruções!$B$5,"",AVERAGE(H14:L14)/Instruções!$B$6-Instruções!$B$7)</f>
        <v/>
      </c>
      <c r="X14" s="87" t="str">
        <f aca="false">IF(COUNT(M14:Q14)&lt;Instruções!$B$5,"",AVERAGE(M14:Q14)/Instruções!$B$6-Instruções!$B$7)</f>
        <v/>
      </c>
      <c r="Y14" s="87" t="str">
        <f aca="false">IF(COUNT(R14:V14)&lt;Instruções!$B$5,"",AVERAGE(R14:V14)/Instruções!$B$6-Instruções!$B$7)</f>
        <v/>
      </c>
      <c r="Z14" s="88" t="str">
        <f aca="false">IF(OR(W14="",X14="",Y14=""),"",AVERAGE(W14:Y14))</f>
        <v/>
      </c>
      <c r="AA14" s="89" t="str">
        <f aca="false">IF(Z14="","",IF(Z14&gt;=Instruções!$B$8,"Manter",IF(Z14&gt;=Instruções!$B$9,"Revisar","Descartar")))</f>
        <v/>
      </c>
      <c r="AB14" s="90"/>
    </row>
    <row r="15" customFormat="false" ht="51.75" hidden="false" customHeight="true" outlineLevel="0" collapsed="false">
      <c r="A15" s="91" t="s">
        <v>291</v>
      </c>
      <c r="B15" s="92" t="s">
        <v>230</v>
      </c>
      <c r="C15" s="93" t="s">
        <v>289</v>
      </c>
      <c r="D15" s="94" t="s">
        <v>271</v>
      </c>
      <c r="E15" s="95" t="s">
        <v>272</v>
      </c>
      <c r="F15" s="96" t="s">
        <v>292</v>
      </c>
      <c r="H15" s="97"/>
      <c r="I15" s="98"/>
      <c r="J15" s="98"/>
      <c r="K15" s="98"/>
      <c r="L15" s="98"/>
      <c r="M15" s="97"/>
      <c r="N15" s="98"/>
      <c r="O15" s="98"/>
      <c r="P15" s="98"/>
      <c r="Q15" s="98"/>
      <c r="R15" s="97"/>
      <c r="S15" s="98"/>
      <c r="T15" s="98"/>
      <c r="U15" s="98"/>
      <c r="V15" s="99"/>
      <c r="W15" s="100" t="str">
        <f aca="false">IF(COUNT(H15:L15)&lt;Instruções!$B$5,"",AVERAGE(H15:L15)/Instruções!$B$6-Instruções!$B$7)</f>
        <v/>
      </c>
      <c r="X15" s="101" t="str">
        <f aca="false">IF(COUNT(M15:Q15)&lt;Instruções!$B$5,"",AVERAGE(M15:Q15)/Instruções!$B$6-Instruções!$B$7)</f>
        <v/>
      </c>
      <c r="Y15" s="101" t="str">
        <f aca="false">IF(COUNT(R15:V15)&lt;Instruções!$B$5,"",AVERAGE(R15:V15)/Instruções!$B$6-Instruções!$B$7)</f>
        <v/>
      </c>
      <c r="Z15" s="102" t="str">
        <f aca="false">IF(OR(W15="",X15="",Y15=""),"",AVERAGE(W15:Y15))</f>
        <v/>
      </c>
      <c r="AA15" s="103" t="str">
        <f aca="false">IF(Z15="","",IF(Z15&gt;=Instruções!$B$8,"Manter",IF(Z15&gt;=Instruções!$B$9,"Revisar","Descartar")))</f>
        <v/>
      </c>
      <c r="AB15" s="104"/>
    </row>
    <row r="16" customFormat="false" ht="51.75" hidden="false" customHeight="true" outlineLevel="0" collapsed="false">
      <c r="A16" s="91" t="s">
        <v>293</v>
      </c>
      <c r="B16" s="92" t="s">
        <v>230</v>
      </c>
      <c r="C16" s="93" t="s">
        <v>289</v>
      </c>
      <c r="D16" s="94" t="s">
        <v>271</v>
      </c>
      <c r="E16" s="95" t="s">
        <v>275</v>
      </c>
      <c r="F16" s="96" t="s">
        <v>294</v>
      </c>
      <c r="H16" s="97"/>
      <c r="I16" s="98"/>
      <c r="J16" s="98"/>
      <c r="K16" s="98"/>
      <c r="L16" s="98"/>
      <c r="M16" s="97"/>
      <c r="N16" s="98"/>
      <c r="O16" s="98"/>
      <c r="P16" s="98"/>
      <c r="Q16" s="98"/>
      <c r="R16" s="97"/>
      <c r="S16" s="98"/>
      <c r="T16" s="98"/>
      <c r="U16" s="98"/>
      <c r="V16" s="99"/>
      <c r="W16" s="100" t="str">
        <f aca="false">IF(COUNT(H16:L16)&lt;Instruções!$B$5,"",AVERAGE(H16:L16)/Instruções!$B$6-Instruções!$B$7)</f>
        <v/>
      </c>
      <c r="X16" s="101" t="str">
        <f aca="false">IF(COUNT(M16:Q16)&lt;Instruções!$B$5,"",AVERAGE(M16:Q16)/Instruções!$B$6-Instruções!$B$7)</f>
        <v/>
      </c>
      <c r="Y16" s="101" t="str">
        <f aca="false">IF(COUNT(R16:V16)&lt;Instruções!$B$5,"",AVERAGE(R16:V16)/Instruções!$B$6-Instruções!$B$7)</f>
        <v/>
      </c>
      <c r="Z16" s="102" t="str">
        <f aca="false">IF(OR(W16="",X16="",Y16=""),"",AVERAGE(W16:Y16))</f>
        <v/>
      </c>
      <c r="AA16" s="103" t="str">
        <f aca="false">IF(Z16="","",IF(Z16&gt;=Instruções!$B$8,"Manter",IF(Z16&gt;=Instruções!$B$9,"Revisar","Descartar")))</f>
        <v/>
      </c>
      <c r="AB16" s="104"/>
    </row>
    <row r="17" customFormat="false" ht="37.5" hidden="false" customHeight="true" outlineLevel="0" collapsed="false">
      <c r="A17" s="91" t="s">
        <v>295</v>
      </c>
      <c r="B17" s="92" t="s">
        <v>230</v>
      </c>
      <c r="C17" s="93" t="s">
        <v>289</v>
      </c>
      <c r="D17" s="94" t="s">
        <v>271</v>
      </c>
      <c r="E17" s="95" t="s">
        <v>278</v>
      </c>
      <c r="F17" s="96" t="s">
        <v>296</v>
      </c>
      <c r="H17" s="97"/>
      <c r="I17" s="98"/>
      <c r="J17" s="98"/>
      <c r="K17" s="98"/>
      <c r="L17" s="98"/>
      <c r="M17" s="97"/>
      <c r="N17" s="98"/>
      <c r="O17" s="98"/>
      <c r="P17" s="98"/>
      <c r="Q17" s="98"/>
      <c r="R17" s="97"/>
      <c r="S17" s="98"/>
      <c r="T17" s="98"/>
      <c r="U17" s="98"/>
      <c r="V17" s="99"/>
      <c r="W17" s="100" t="str">
        <f aca="false">IF(COUNT(H17:L17)&lt;Instruções!$B$5,"",AVERAGE(H17:L17)/Instruções!$B$6-Instruções!$B$7)</f>
        <v/>
      </c>
      <c r="X17" s="101" t="str">
        <f aca="false">IF(COUNT(M17:Q17)&lt;Instruções!$B$5,"",AVERAGE(M17:Q17)/Instruções!$B$6-Instruções!$B$7)</f>
        <v/>
      </c>
      <c r="Y17" s="101" t="str">
        <f aca="false">IF(COUNT(R17:V17)&lt;Instruções!$B$5,"",AVERAGE(R17:V17)/Instruções!$B$6-Instruções!$B$7)</f>
        <v/>
      </c>
      <c r="Z17" s="102" t="str">
        <f aca="false">IF(OR(W17="",X17="",Y17=""),"",AVERAGE(W17:Y17))</f>
        <v/>
      </c>
      <c r="AA17" s="103" t="str">
        <f aca="false">IF(Z17="","",IF(Z17&gt;=Instruções!$B$8,"Manter",IF(Z17&gt;=Instruções!$B$9,"Revisar","Descartar")))</f>
        <v/>
      </c>
      <c r="AB17" s="104"/>
    </row>
    <row r="18" customFormat="false" ht="51.75" hidden="false" customHeight="true" outlineLevel="0" collapsed="false">
      <c r="A18" s="77" t="s">
        <v>297</v>
      </c>
      <c r="B18" s="105" t="s">
        <v>230</v>
      </c>
      <c r="C18" s="106" t="s">
        <v>298</v>
      </c>
      <c r="D18" s="107" t="s">
        <v>118</v>
      </c>
      <c r="E18" s="108" t="s">
        <v>282</v>
      </c>
      <c r="F18" s="109" t="s">
        <v>299</v>
      </c>
      <c r="H18" s="83"/>
      <c r="I18" s="84"/>
      <c r="J18" s="84"/>
      <c r="K18" s="84"/>
      <c r="L18" s="84"/>
      <c r="M18" s="83"/>
      <c r="N18" s="84"/>
      <c r="O18" s="84"/>
      <c r="P18" s="84"/>
      <c r="Q18" s="84"/>
      <c r="R18" s="83"/>
      <c r="S18" s="84"/>
      <c r="T18" s="84"/>
      <c r="U18" s="84"/>
      <c r="V18" s="85"/>
      <c r="W18" s="86" t="str">
        <f aca="false">IF(COUNT(H18:L18)&lt;Instruções!$B$5,"",AVERAGE(H18:L18)/Instruções!$B$6-Instruções!$B$7)</f>
        <v/>
      </c>
      <c r="X18" s="87" t="str">
        <f aca="false">IF(COUNT(M18:Q18)&lt;Instruções!$B$5,"",AVERAGE(M18:Q18)/Instruções!$B$6-Instruções!$B$7)</f>
        <v/>
      </c>
      <c r="Y18" s="87" t="str">
        <f aca="false">IF(COUNT(R18:V18)&lt;Instruções!$B$5,"",AVERAGE(R18:V18)/Instruções!$B$6-Instruções!$B$7)</f>
        <v/>
      </c>
      <c r="Z18" s="88" t="str">
        <f aca="false">IF(OR(W18="",X18="",Y18=""),"",AVERAGE(W18:Y18))</f>
        <v/>
      </c>
      <c r="AA18" s="89" t="str">
        <f aca="false">IF(Z18="","",IF(Z18&gt;=Instruções!$B$8,"Manter",IF(Z18&gt;=Instruções!$B$9,"Revisar","Descartar")))</f>
        <v/>
      </c>
      <c r="AB18" s="110"/>
    </row>
    <row r="19" customFormat="false" ht="51.75" hidden="false" customHeight="true" outlineLevel="0" collapsed="false">
      <c r="A19" s="91" t="s">
        <v>300</v>
      </c>
      <c r="B19" s="111" t="s">
        <v>230</v>
      </c>
      <c r="C19" s="112" t="s">
        <v>298</v>
      </c>
      <c r="D19" s="113" t="s">
        <v>271</v>
      </c>
      <c r="E19" s="114" t="s">
        <v>272</v>
      </c>
      <c r="F19" s="115" t="s">
        <v>301</v>
      </c>
      <c r="H19" s="97"/>
      <c r="I19" s="98"/>
      <c r="J19" s="98"/>
      <c r="K19" s="98"/>
      <c r="L19" s="98"/>
      <c r="M19" s="97"/>
      <c r="N19" s="98"/>
      <c r="O19" s="98"/>
      <c r="P19" s="98"/>
      <c r="Q19" s="98"/>
      <c r="R19" s="97"/>
      <c r="S19" s="98"/>
      <c r="T19" s="98"/>
      <c r="U19" s="98"/>
      <c r="V19" s="99"/>
      <c r="W19" s="100" t="str">
        <f aca="false">IF(COUNT(H19:L19)&lt;Instruções!$B$5,"",AVERAGE(H19:L19)/Instruções!$B$6-Instruções!$B$7)</f>
        <v/>
      </c>
      <c r="X19" s="101" t="str">
        <f aca="false">IF(COUNT(M19:Q19)&lt;Instruções!$B$5,"",AVERAGE(M19:Q19)/Instruções!$B$6-Instruções!$B$7)</f>
        <v/>
      </c>
      <c r="Y19" s="101" t="str">
        <f aca="false">IF(COUNT(R19:V19)&lt;Instruções!$B$5,"",AVERAGE(R19:V19)/Instruções!$B$6-Instruções!$B$7)</f>
        <v/>
      </c>
      <c r="Z19" s="102" t="str">
        <f aca="false">IF(OR(W19="",X19="",Y19=""),"",AVERAGE(W19:Y19))</f>
        <v/>
      </c>
      <c r="AA19" s="103" t="str">
        <f aca="false">IF(Z19="","",IF(Z19&gt;=Instruções!$B$8,"Manter",IF(Z19&gt;=Instruções!$B$9,"Revisar","Descartar")))</f>
        <v/>
      </c>
      <c r="AB19" s="116"/>
    </row>
    <row r="20" customFormat="false" ht="37.5" hidden="false" customHeight="true" outlineLevel="0" collapsed="false">
      <c r="A20" s="91" t="s">
        <v>302</v>
      </c>
      <c r="B20" s="111" t="s">
        <v>230</v>
      </c>
      <c r="C20" s="112" t="s">
        <v>298</v>
      </c>
      <c r="D20" s="113" t="s">
        <v>271</v>
      </c>
      <c r="E20" s="114" t="s">
        <v>275</v>
      </c>
      <c r="F20" s="115" t="s">
        <v>303</v>
      </c>
      <c r="H20" s="97"/>
      <c r="I20" s="98"/>
      <c r="J20" s="98"/>
      <c r="K20" s="98"/>
      <c r="L20" s="98"/>
      <c r="M20" s="97"/>
      <c r="N20" s="98"/>
      <c r="O20" s="98"/>
      <c r="P20" s="98"/>
      <c r="Q20" s="98"/>
      <c r="R20" s="97"/>
      <c r="S20" s="98"/>
      <c r="T20" s="98"/>
      <c r="U20" s="98"/>
      <c r="V20" s="99"/>
      <c r="W20" s="100" t="str">
        <f aca="false">IF(COUNT(H20:L20)&lt;Instruções!$B$5,"",AVERAGE(H20:L20)/Instruções!$B$6-Instruções!$B$7)</f>
        <v/>
      </c>
      <c r="X20" s="101" t="str">
        <f aca="false">IF(COUNT(M20:Q20)&lt;Instruções!$B$5,"",AVERAGE(M20:Q20)/Instruções!$B$6-Instruções!$B$7)</f>
        <v/>
      </c>
      <c r="Y20" s="101" t="str">
        <f aca="false">IF(COUNT(R20:V20)&lt;Instruções!$B$5,"",AVERAGE(R20:V20)/Instruções!$B$6-Instruções!$B$7)</f>
        <v/>
      </c>
      <c r="Z20" s="102" t="str">
        <f aca="false">IF(OR(W20="",X20="",Y20=""),"",AVERAGE(W20:Y20))</f>
        <v/>
      </c>
      <c r="AA20" s="103" t="str">
        <f aca="false">IF(Z20="","",IF(Z20&gt;=Instruções!$B$8,"Manter",IF(Z20&gt;=Instruções!$B$9,"Revisar","Descartar")))</f>
        <v/>
      </c>
      <c r="AB20" s="116"/>
    </row>
    <row r="21" customFormat="false" ht="37.5" hidden="false" customHeight="true" outlineLevel="0" collapsed="false">
      <c r="A21" s="77" t="s">
        <v>304</v>
      </c>
      <c r="B21" s="78" t="s">
        <v>230</v>
      </c>
      <c r="C21" s="79" t="s">
        <v>305</v>
      </c>
      <c r="D21" s="80" t="s">
        <v>118</v>
      </c>
      <c r="E21" s="81" t="s">
        <v>282</v>
      </c>
      <c r="F21" s="82" t="s">
        <v>306</v>
      </c>
      <c r="H21" s="83"/>
      <c r="I21" s="84"/>
      <c r="J21" s="84"/>
      <c r="K21" s="84"/>
      <c r="L21" s="84"/>
      <c r="M21" s="83"/>
      <c r="N21" s="84"/>
      <c r="O21" s="84"/>
      <c r="P21" s="84"/>
      <c r="Q21" s="84"/>
      <c r="R21" s="83"/>
      <c r="S21" s="84"/>
      <c r="T21" s="84"/>
      <c r="U21" s="84"/>
      <c r="V21" s="85"/>
      <c r="W21" s="86" t="str">
        <f aca="false">IF(COUNT(H21:L21)&lt;Instruções!$B$5,"",AVERAGE(H21:L21)/Instruções!$B$6-Instruções!$B$7)</f>
        <v/>
      </c>
      <c r="X21" s="87" t="str">
        <f aca="false">IF(COUNT(M21:Q21)&lt;Instruções!$B$5,"",AVERAGE(M21:Q21)/Instruções!$B$6-Instruções!$B$7)</f>
        <v/>
      </c>
      <c r="Y21" s="87" t="str">
        <f aca="false">IF(COUNT(R21:V21)&lt;Instruções!$B$5,"",AVERAGE(R21:V21)/Instruções!$B$6-Instruções!$B$7)</f>
        <v/>
      </c>
      <c r="Z21" s="88" t="str">
        <f aca="false">IF(OR(W21="",X21="",Y21=""),"",AVERAGE(W21:Y21))</f>
        <v/>
      </c>
      <c r="AA21" s="89" t="str">
        <f aca="false">IF(Z21="","",IF(Z21&gt;=Instruções!$B$8,"Manter",IF(Z21&gt;=Instruções!$B$9,"Revisar","Descartar")))</f>
        <v/>
      </c>
      <c r="AB21" s="90"/>
    </row>
    <row r="22" customFormat="false" ht="51.75" hidden="false" customHeight="true" outlineLevel="0" collapsed="false">
      <c r="A22" s="91" t="s">
        <v>307</v>
      </c>
      <c r="B22" s="92" t="s">
        <v>230</v>
      </c>
      <c r="C22" s="93" t="s">
        <v>305</v>
      </c>
      <c r="D22" s="94" t="s">
        <v>271</v>
      </c>
      <c r="E22" s="95" t="s">
        <v>272</v>
      </c>
      <c r="F22" s="96" t="s">
        <v>308</v>
      </c>
      <c r="H22" s="97"/>
      <c r="I22" s="98"/>
      <c r="J22" s="98"/>
      <c r="K22" s="98"/>
      <c r="L22" s="98"/>
      <c r="M22" s="97"/>
      <c r="N22" s="98"/>
      <c r="O22" s="98"/>
      <c r="P22" s="98"/>
      <c r="Q22" s="98"/>
      <c r="R22" s="97"/>
      <c r="S22" s="98"/>
      <c r="T22" s="98"/>
      <c r="U22" s="98"/>
      <c r="V22" s="99"/>
      <c r="W22" s="100" t="str">
        <f aca="false">IF(COUNT(H22:L22)&lt;Instruções!$B$5,"",AVERAGE(H22:L22)/Instruções!$B$6-Instruções!$B$7)</f>
        <v/>
      </c>
      <c r="X22" s="101" t="str">
        <f aca="false">IF(COUNT(M22:Q22)&lt;Instruções!$B$5,"",AVERAGE(M22:Q22)/Instruções!$B$6-Instruções!$B$7)</f>
        <v/>
      </c>
      <c r="Y22" s="101" t="str">
        <f aca="false">IF(COUNT(R22:V22)&lt;Instruções!$B$5,"",AVERAGE(R22:V22)/Instruções!$B$6-Instruções!$B$7)</f>
        <v/>
      </c>
      <c r="Z22" s="102" t="str">
        <f aca="false">IF(OR(W22="",X22="",Y22=""),"",AVERAGE(W22:Y22))</f>
        <v/>
      </c>
      <c r="AA22" s="103" t="str">
        <f aca="false">IF(Z22="","",IF(Z22&gt;=Instruções!$B$8,"Manter",IF(Z22&gt;=Instruções!$B$9,"Revisar","Descartar")))</f>
        <v/>
      </c>
      <c r="AB22" s="104"/>
    </row>
    <row r="23" customFormat="false" ht="37.5" hidden="false" customHeight="true" outlineLevel="0" collapsed="false">
      <c r="A23" s="91" t="s">
        <v>309</v>
      </c>
      <c r="B23" s="92" t="s">
        <v>230</v>
      </c>
      <c r="C23" s="93" t="s">
        <v>305</v>
      </c>
      <c r="D23" s="94" t="s">
        <v>271</v>
      </c>
      <c r="E23" s="95" t="s">
        <v>275</v>
      </c>
      <c r="F23" s="96" t="s">
        <v>310</v>
      </c>
      <c r="H23" s="97"/>
      <c r="I23" s="98"/>
      <c r="J23" s="98"/>
      <c r="K23" s="98"/>
      <c r="L23" s="98"/>
      <c r="M23" s="97"/>
      <c r="N23" s="98"/>
      <c r="O23" s="98"/>
      <c r="P23" s="98"/>
      <c r="Q23" s="98"/>
      <c r="R23" s="97"/>
      <c r="S23" s="98"/>
      <c r="T23" s="98"/>
      <c r="U23" s="98"/>
      <c r="V23" s="99"/>
      <c r="W23" s="100" t="str">
        <f aca="false">IF(COUNT(H23:L23)&lt;Instruções!$B$5,"",AVERAGE(H23:L23)/Instruções!$B$6-Instruções!$B$7)</f>
        <v/>
      </c>
      <c r="X23" s="101" t="str">
        <f aca="false">IF(COUNT(M23:Q23)&lt;Instruções!$B$5,"",AVERAGE(M23:Q23)/Instruções!$B$6-Instruções!$B$7)</f>
        <v/>
      </c>
      <c r="Y23" s="101" t="str">
        <f aca="false">IF(COUNT(R23:V23)&lt;Instruções!$B$5,"",AVERAGE(R23:V23)/Instruções!$B$6-Instruções!$B$7)</f>
        <v/>
      </c>
      <c r="Z23" s="102" t="str">
        <f aca="false">IF(OR(W23="",X23="",Y23=""),"",AVERAGE(W23:Y23))</f>
        <v/>
      </c>
      <c r="AA23" s="103" t="str">
        <f aca="false">IF(Z23="","",IF(Z23&gt;=Instruções!$B$8,"Manter",IF(Z23&gt;=Instruções!$B$9,"Revisar","Descartar")))</f>
        <v/>
      </c>
      <c r="AB23" s="104"/>
    </row>
    <row r="24" customFormat="false" ht="51.75" hidden="false" customHeight="true" outlineLevel="0" collapsed="false">
      <c r="A24" s="77" t="s">
        <v>311</v>
      </c>
      <c r="B24" s="105" t="s">
        <v>230</v>
      </c>
      <c r="C24" s="106" t="s">
        <v>312</v>
      </c>
      <c r="D24" s="107" t="s">
        <v>118</v>
      </c>
      <c r="E24" s="108" t="s">
        <v>313</v>
      </c>
      <c r="F24" s="109" t="s">
        <v>314</v>
      </c>
      <c r="H24" s="83"/>
      <c r="I24" s="84"/>
      <c r="J24" s="84"/>
      <c r="K24" s="84"/>
      <c r="L24" s="84"/>
      <c r="M24" s="83"/>
      <c r="N24" s="84"/>
      <c r="O24" s="84"/>
      <c r="P24" s="84"/>
      <c r="Q24" s="84"/>
      <c r="R24" s="83"/>
      <c r="S24" s="84"/>
      <c r="T24" s="84"/>
      <c r="U24" s="84"/>
      <c r="V24" s="85"/>
      <c r="W24" s="86" t="str">
        <f aca="false">IF(COUNT(H24:L24)&lt;Instruções!$B$5,"",AVERAGE(H24:L24)/Instruções!$B$6-Instruções!$B$7)</f>
        <v/>
      </c>
      <c r="X24" s="87" t="str">
        <f aca="false">IF(COUNT(M24:Q24)&lt;Instruções!$B$5,"",AVERAGE(M24:Q24)/Instruções!$B$6-Instruções!$B$7)</f>
        <v/>
      </c>
      <c r="Y24" s="87" t="str">
        <f aca="false">IF(COUNT(R24:V24)&lt;Instruções!$B$5,"",AVERAGE(R24:V24)/Instruções!$B$6-Instruções!$B$7)</f>
        <v/>
      </c>
      <c r="Z24" s="88" t="str">
        <f aca="false">IF(OR(W24="",X24="",Y24=""),"",AVERAGE(W24:Y24))</f>
        <v/>
      </c>
      <c r="AA24" s="89" t="str">
        <f aca="false">IF(Z24="","",IF(Z24&gt;=Instruções!$B$8,"Manter",IF(Z24&gt;=Instruções!$B$9,"Revisar","Descartar")))</f>
        <v/>
      </c>
      <c r="AB24" s="110"/>
    </row>
    <row r="25" customFormat="false" ht="37.5" hidden="false" customHeight="true" outlineLevel="0" collapsed="false">
      <c r="A25" s="91" t="s">
        <v>315</v>
      </c>
      <c r="B25" s="111" t="s">
        <v>230</v>
      </c>
      <c r="C25" s="112" t="s">
        <v>312</v>
      </c>
      <c r="D25" s="113" t="s">
        <v>271</v>
      </c>
      <c r="E25" s="114" t="s">
        <v>272</v>
      </c>
      <c r="F25" s="115" t="s">
        <v>316</v>
      </c>
      <c r="H25" s="97"/>
      <c r="I25" s="98"/>
      <c r="J25" s="98"/>
      <c r="K25" s="98"/>
      <c r="L25" s="98"/>
      <c r="M25" s="97"/>
      <c r="N25" s="98"/>
      <c r="O25" s="98"/>
      <c r="P25" s="98"/>
      <c r="Q25" s="98"/>
      <c r="R25" s="97"/>
      <c r="S25" s="98"/>
      <c r="T25" s="98"/>
      <c r="U25" s="98"/>
      <c r="V25" s="99"/>
      <c r="W25" s="100" t="str">
        <f aca="false">IF(COUNT(H25:L25)&lt;Instruções!$B$5,"",AVERAGE(H25:L25)/Instruções!$B$6-Instruções!$B$7)</f>
        <v/>
      </c>
      <c r="X25" s="101" t="str">
        <f aca="false">IF(COUNT(M25:Q25)&lt;Instruções!$B$5,"",AVERAGE(M25:Q25)/Instruções!$B$6-Instruções!$B$7)</f>
        <v/>
      </c>
      <c r="Y25" s="101" t="str">
        <f aca="false">IF(COUNT(R25:V25)&lt;Instruções!$B$5,"",AVERAGE(R25:V25)/Instruções!$B$6-Instruções!$B$7)</f>
        <v/>
      </c>
      <c r="Z25" s="102" t="str">
        <f aca="false">IF(OR(W25="",X25="",Y25=""),"",AVERAGE(W25:Y25))</f>
        <v/>
      </c>
      <c r="AA25" s="103" t="str">
        <f aca="false">IF(Z25="","",IF(Z25&gt;=Instruções!$B$8,"Manter",IF(Z25&gt;=Instruções!$B$9,"Revisar","Descartar")))</f>
        <v/>
      </c>
      <c r="AB25" s="116"/>
    </row>
    <row r="26" customFormat="false" ht="51.75" hidden="false" customHeight="true" outlineLevel="0" collapsed="false">
      <c r="A26" s="77" t="s">
        <v>317</v>
      </c>
      <c r="B26" s="78" t="s">
        <v>230</v>
      </c>
      <c r="C26" s="79" t="s">
        <v>318</v>
      </c>
      <c r="D26" s="80" t="s">
        <v>118</v>
      </c>
      <c r="E26" s="81" t="s">
        <v>282</v>
      </c>
      <c r="F26" s="82" t="s">
        <v>319</v>
      </c>
      <c r="H26" s="83"/>
      <c r="I26" s="84"/>
      <c r="J26" s="84"/>
      <c r="K26" s="84"/>
      <c r="L26" s="84"/>
      <c r="M26" s="83"/>
      <c r="N26" s="84"/>
      <c r="O26" s="84"/>
      <c r="P26" s="84"/>
      <c r="Q26" s="84"/>
      <c r="R26" s="83"/>
      <c r="S26" s="84"/>
      <c r="T26" s="84"/>
      <c r="U26" s="84"/>
      <c r="V26" s="85"/>
      <c r="W26" s="86" t="str">
        <f aca="false">IF(COUNT(H26:L26)&lt;Instruções!$B$5,"",AVERAGE(H26:L26)/Instruções!$B$6-Instruções!$B$7)</f>
        <v/>
      </c>
      <c r="X26" s="87" t="str">
        <f aca="false">IF(COUNT(M26:Q26)&lt;Instruções!$B$5,"",AVERAGE(M26:Q26)/Instruções!$B$6-Instruções!$B$7)</f>
        <v/>
      </c>
      <c r="Y26" s="87" t="str">
        <f aca="false">IF(COUNT(R26:V26)&lt;Instruções!$B$5,"",AVERAGE(R26:V26)/Instruções!$B$6-Instruções!$B$7)</f>
        <v/>
      </c>
      <c r="Z26" s="88" t="str">
        <f aca="false">IF(OR(W26="",X26="",Y26=""),"",AVERAGE(W26:Y26))</f>
        <v/>
      </c>
      <c r="AA26" s="89" t="str">
        <f aca="false">IF(Z26="","",IF(Z26&gt;=Instruções!$B$8,"Manter",IF(Z26&gt;=Instruções!$B$9,"Revisar","Descartar")))</f>
        <v/>
      </c>
      <c r="AB26" s="90"/>
    </row>
    <row r="27" customFormat="false" ht="51.75" hidden="false" customHeight="true" outlineLevel="0" collapsed="false">
      <c r="A27" s="91" t="s">
        <v>320</v>
      </c>
      <c r="B27" s="92" t="s">
        <v>230</v>
      </c>
      <c r="C27" s="93" t="s">
        <v>318</v>
      </c>
      <c r="D27" s="94" t="s">
        <v>271</v>
      </c>
      <c r="E27" s="95" t="s">
        <v>272</v>
      </c>
      <c r="F27" s="96" t="s">
        <v>321</v>
      </c>
      <c r="H27" s="97"/>
      <c r="I27" s="98"/>
      <c r="J27" s="98"/>
      <c r="K27" s="98"/>
      <c r="L27" s="98"/>
      <c r="M27" s="97"/>
      <c r="N27" s="98"/>
      <c r="O27" s="98"/>
      <c r="P27" s="98"/>
      <c r="Q27" s="98"/>
      <c r="R27" s="97"/>
      <c r="S27" s="98"/>
      <c r="T27" s="98"/>
      <c r="U27" s="98"/>
      <c r="V27" s="99"/>
      <c r="W27" s="100" t="str">
        <f aca="false">IF(COUNT(H27:L27)&lt;Instruções!$B$5,"",AVERAGE(H27:L27)/Instruções!$B$6-Instruções!$B$7)</f>
        <v/>
      </c>
      <c r="X27" s="101" t="str">
        <f aca="false">IF(COUNT(M27:Q27)&lt;Instruções!$B$5,"",AVERAGE(M27:Q27)/Instruções!$B$6-Instruções!$B$7)</f>
        <v/>
      </c>
      <c r="Y27" s="101" t="str">
        <f aca="false">IF(COUNT(R27:V27)&lt;Instruções!$B$5,"",AVERAGE(R27:V27)/Instruções!$B$6-Instruções!$B$7)</f>
        <v/>
      </c>
      <c r="Z27" s="102" t="str">
        <f aca="false">IF(OR(W27="",X27="",Y27=""),"",AVERAGE(W27:Y27))</f>
        <v/>
      </c>
      <c r="AA27" s="103" t="str">
        <f aca="false">IF(Z27="","",IF(Z27&gt;=Instruções!$B$8,"Manter",IF(Z27&gt;=Instruções!$B$9,"Revisar","Descartar")))</f>
        <v/>
      </c>
      <c r="AB27" s="104"/>
    </row>
    <row r="28" customFormat="false" ht="37.5" hidden="false" customHeight="true" outlineLevel="0" collapsed="false">
      <c r="A28" s="91" t="s">
        <v>322</v>
      </c>
      <c r="B28" s="92" t="s">
        <v>230</v>
      </c>
      <c r="C28" s="93" t="s">
        <v>318</v>
      </c>
      <c r="D28" s="94" t="s">
        <v>271</v>
      </c>
      <c r="E28" s="95" t="s">
        <v>275</v>
      </c>
      <c r="F28" s="96" t="s">
        <v>323</v>
      </c>
      <c r="H28" s="97"/>
      <c r="I28" s="98"/>
      <c r="J28" s="98"/>
      <c r="K28" s="98"/>
      <c r="L28" s="98"/>
      <c r="M28" s="97"/>
      <c r="N28" s="98"/>
      <c r="O28" s="98"/>
      <c r="P28" s="98"/>
      <c r="Q28" s="98"/>
      <c r="R28" s="97"/>
      <c r="S28" s="98"/>
      <c r="T28" s="98"/>
      <c r="U28" s="98"/>
      <c r="V28" s="99"/>
      <c r="W28" s="100" t="str">
        <f aca="false">IF(COUNT(H28:L28)&lt;Instruções!$B$5,"",AVERAGE(H28:L28)/Instruções!$B$6-Instruções!$B$7)</f>
        <v/>
      </c>
      <c r="X28" s="101" t="str">
        <f aca="false">IF(COUNT(M28:Q28)&lt;Instruções!$B$5,"",AVERAGE(M28:Q28)/Instruções!$B$6-Instruções!$B$7)</f>
        <v/>
      </c>
      <c r="Y28" s="101" t="str">
        <f aca="false">IF(COUNT(R28:V28)&lt;Instruções!$B$5,"",AVERAGE(R28:V28)/Instruções!$B$6-Instruções!$B$7)</f>
        <v/>
      </c>
      <c r="Z28" s="102" t="str">
        <f aca="false">IF(OR(W28="",X28="",Y28=""),"",AVERAGE(W28:Y28))</f>
        <v/>
      </c>
      <c r="AA28" s="103" t="str">
        <f aca="false">IF(Z28="","",IF(Z28&gt;=Instruções!$B$8,"Manter",IF(Z28&gt;=Instruções!$B$9,"Revisar","Descartar")))</f>
        <v/>
      </c>
      <c r="AB28" s="104"/>
    </row>
    <row r="29" customFormat="false" ht="37.5" hidden="false" customHeight="true" outlineLevel="0" collapsed="false">
      <c r="A29" s="77" t="s">
        <v>324</v>
      </c>
      <c r="B29" s="105" t="s">
        <v>230</v>
      </c>
      <c r="C29" s="106" t="s">
        <v>325</v>
      </c>
      <c r="D29" s="107" t="s">
        <v>326</v>
      </c>
      <c r="E29" s="108" t="s">
        <v>327</v>
      </c>
      <c r="F29" s="109" t="s">
        <v>328</v>
      </c>
      <c r="H29" s="83"/>
      <c r="I29" s="84"/>
      <c r="J29" s="84"/>
      <c r="K29" s="84"/>
      <c r="L29" s="84"/>
      <c r="M29" s="83"/>
      <c r="N29" s="84"/>
      <c r="O29" s="84"/>
      <c r="P29" s="84"/>
      <c r="Q29" s="84"/>
      <c r="R29" s="83"/>
      <c r="S29" s="84"/>
      <c r="T29" s="84"/>
      <c r="U29" s="84"/>
      <c r="V29" s="85"/>
      <c r="W29" s="86" t="str">
        <f aca="false">IF(COUNT(H29:L29)&lt;Instruções!$B$5,"",AVERAGE(H29:L29)/Instruções!$B$6-Instruções!$B$7)</f>
        <v/>
      </c>
      <c r="X29" s="87" t="str">
        <f aca="false">IF(COUNT(M29:Q29)&lt;Instruções!$B$5,"",AVERAGE(M29:Q29)/Instruções!$B$6-Instruções!$B$7)</f>
        <v/>
      </c>
      <c r="Y29" s="87" t="str">
        <f aca="false">IF(COUNT(R29:V29)&lt;Instruções!$B$5,"",AVERAGE(R29:V29)/Instruções!$B$6-Instruções!$B$7)</f>
        <v/>
      </c>
      <c r="Z29" s="88" t="str">
        <f aca="false">IF(OR(W29="",X29="",Y29=""),"",AVERAGE(W29:Y29))</f>
        <v/>
      </c>
      <c r="AA29" s="89" t="str">
        <f aca="false">IF(Z29="","",IF(Z29&gt;=Instruções!$B$8,"Manter",IF(Z29&gt;=Instruções!$B$9,"Revisar","Descartar")))</f>
        <v/>
      </c>
      <c r="AB29" s="110"/>
    </row>
    <row r="30" customFormat="false" ht="37.5" hidden="false" customHeight="true" outlineLevel="0" collapsed="false">
      <c r="A30" s="77" t="s">
        <v>329</v>
      </c>
      <c r="B30" s="78" t="s">
        <v>230</v>
      </c>
      <c r="C30" s="79" t="s">
        <v>325</v>
      </c>
      <c r="D30" s="80" t="s">
        <v>326</v>
      </c>
      <c r="E30" s="81" t="s">
        <v>327</v>
      </c>
      <c r="F30" s="82" t="s">
        <v>330</v>
      </c>
      <c r="H30" s="83"/>
      <c r="I30" s="84"/>
      <c r="J30" s="84"/>
      <c r="K30" s="84"/>
      <c r="L30" s="84"/>
      <c r="M30" s="83"/>
      <c r="N30" s="84"/>
      <c r="O30" s="84"/>
      <c r="P30" s="84"/>
      <c r="Q30" s="84"/>
      <c r="R30" s="83"/>
      <c r="S30" s="84"/>
      <c r="T30" s="84"/>
      <c r="U30" s="84"/>
      <c r="V30" s="85"/>
      <c r="W30" s="86" t="str">
        <f aca="false">IF(COUNT(H30:L30)&lt;Instruções!$B$5,"",AVERAGE(H30:L30)/Instruções!$B$6-Instruções!$B$7)</f>
        <v/>
      </c>
      <c r="X30" s="87" t="str">
        <f aca="false">IF(COUNT(M30:Q30)&lt;Instruções!$B$5,"",AVERAGE(M30:Q30)/Instruções!$B$6-Instruções!$B$7)</f>
        <v/>
      </c>
      <c r="Y30" s="87" t="str">
        <f aca="false">IF(COUNT(R30:V30)&lt;Instruções!$B$5,"",AVERAGE(R30:V30)/Instruções!$B$6-Instruções!$B$7)</f>
        <v/>
      </c>
      <c r="Z30" s="88" t="str">
        <f aca="false">IF(OR(W30="",X30="",Y30=""),"",AVERAGE(W30:Y30))</f>
        <v/>
      </c>
      <c r="AA30" s="89" t="str">
        <f aca="false">IF(Z30="","",IF(Z30&gt;=Instruções!$B$8,"Manter",IF(Z30&gt;=Instruções!$B$9,"Revisar","Descartar")))</f>
        <v/>
      </c>
      <c r="AB30" s="90"/>
    </row>
    <row r="31" customFormat="false" ht="51.75" hidden="false" customHeight="true" outlineLevel="0" collapsed="false">
      <c r="A31" s="77" t="s">
        <v>331</v>
      </c>
      <c r="B31" s="105" t="s">
        <v>230</v>
      </c>
      <c r="C31" s="106" t="s">
        <v>325</v>
      </c>
      <c r="D31" s="107" t="s">
        <v>326</v>
      </c>
      <c r="E31" s="108" t="s">
        <v>327</v>
      </c>
      <c r="F31" s="109" t="s">
        <v>332</v>
      </c>
      <c r="H31" s="83"/>
      <c r="I31" s="84"/>
      <c r="J31" s="84"/>
      <c r="K31" s="84"/>
      <c r="L31" s="84"/>
      <c r="M31" s="83"/>
      <c r="N31" s="84"/>
      <c r="O31" s="84"/>
      <c r="P31" s="84"/>
      <c r="Q31" s="84"/>
      <c r="R31" s="83"/>
      <c r="S31" s="84"/>
      <c r="T31" s="84"/>
      <c r="U31" s="84"/>
      <c r="V31" s="85"/>
      <c r="W31" s="86" t="str">
        <f aca="false">IF(COUNT(H31:L31)&lt;Instruções!$B$5,"",AVERAGE(H31:L31)/Instruções!$B$6-Instruções!$B$7)</f>
        <v/>
      </c>
      <c r="X31" s="87" t="str">
        <f aca="false">IF(COUNT(M31:Q31)&lt;Instruções!$B$5,"",AVERAGE(M31:Q31)/Instruções!$B$6-Instruções!$B$7)</f>
        <v/>
      </c>
      <c r="Y31" s="87" t="str">
        <f aca="false">IF(COUNT(R31:V31)&lt;Instruções!$B$5,"",AVERAGE(R31:V31)/Instruções!$B$6-Instruções!$B$7)</f>
        <v/>
      </c>
      <c r="Z31" s="88" t="str">
        <f aca="false">IF(OR(W31="",X31="",Y31=""),"",AVERAGE(W31:Y31))</f>
        <v/>
      </c>
      <c r="AA31" s="89" t="str">
        <f aca="false">IF(Z31="","",IF(Z31&gt;=Instruções!$B$8,"Manter",IF(Z31&gt;=Instruções!$B$9,"Revisar","Descartar")))</f>
        <v/>
      </c>
      <c r="AB31" s="110"/>
    </row>
    <row r="32" customFormat="false" ht="37.5" hidden="false" customHeight="true" outlineLevel="0" collapsed="false">
      <c r="A32" s="77" t="s">
        <v>333</v>
      </c>
      <c r="B32" s="78" t="s">
        <v>230</v>
      </c>
      <c r="C32" s="79" t="s">
        <v>325</v>
      </c>
      <c r="D32" s="80" t="s">
        <v>326</v>
      </c>
      <c r="E32" s="81" t="s">
        <v>327</v>
      </c>
      <c r="F32" s="82" t="s">
        <v>334</v>
      </c>
      <c r="H32" s="83"/>
      <c r="I32" s="84"/>
      <c r="J32" s="84"/>
      <c r="K32" s="84"/>
      <c r="L32" s="84"/>
      <c r="M32" s="83"/>
      <c r="N32" s="84"/>
      <c r="O32" s="84"/>
      <c r="P32" s="84"/>
      <c r="Q32" s="84"/>
      <c r="R32" s="83"/>
      <c r="S32" s="84"/>
      <c r="T32" s="84"/>
      <c r="U32" s="84"/>
      <c r="V32" s="85"/>
      <c r="W32" s="86" t="str">
        <f aca="false">IF(COUNT(H32:L32)&lt;Instruções!$B$5,"",AVERAGE(H32:L32)/Instruções!$B$6-Instruções!$B$7)</f>
        <v/>
      </c>
      <c r="X32" s="87" t="str">
        <f aca="false">IF(COUNT(M32:Q32)&lt;Instruções!$B$5,"",AVERAGE(M32:Q32)/Instruções!$B$6-Instruções!$B$7)</f>
        <v/>
      </c>
      <c r="Y32" s="87" t="str">
        <f aca="false">IF(COUNT(R32:V32)&lt;Instruções!$B$5,"",AVERAGE(R32:V32)/Instruções!$B$6-Instruções!$B$7)</f>
        <v/>
      </c>
      <c r="Z32" s="88" t="str">
        <f aca="false">IF(OR(W32="",X32="",Y32=""),"",AVERAGE(W32:Y32))</f>
        <v/>
      </c>
      <c r="AA32" s="89" t="str">
        <f aca="false">IF(Z32="","",IF(Z32&gt;=Instruções!$B$8,"Manter",IF(Z32&gt;=Instruções!$B$9,"Revisar","Descartar")))</f>
        <v/>
      </c>
      <c r="AB32" s="90"/>
    </row>
    <row r="33" customFormat="false" ht="37.5" hidden="false" customHeight="true" outlineLevel="0" collapsed="false">
      <c r="A33" s="77" t="s">
        <v>335</v>
      </c>
      <c r="B33" s="105" t="s">
        <v>230</v>
      </c>
      <c r="C33" s="106" t="s">
        <v>325</v>
      </c>
      <c r="D33" s="107" t="s">
        <v>326</v>
      </c>
      <c r="E33" s="108" t="s">
        <v>272</v>
      </c>
      <c r="F33" s="109" t="s">
        <v>336</v>
      </c>
      <c r="H33" s="83"/>
      <c r="I33" s="84"/>
      <c r="J33" s="84"/>
      <c r="K33" s="84"/>
      <c r="L33" s="84"/>
      <c r="M33" s="83"/>
      <c r="N33" s="84"/>
      <c r="O33" s="84"/>
      <c r="P33" s="84"/>
      <c r="Q33" s="84"/>
      <c r="R33" s="83"/>
      <c r="S33" s="84"/>
      <c r="T33" s="84"/>
      <c r="U33" s="84"/>
      <c r="V33" s="85"/>
      <c r="W33" s="86" t="str">
        <f aca="false">IF(COUNT(H33:L33)&lt;Instruções!$B$5,"",AVERAGE(H33:L33)/Instruções!$B$6-Instruções!$B$7)</f>
        <v/>
      </c>
      <c r="X33" s="87" t="str">
        <f aca="false">IF(COUNT(M33:Q33)&lt;Instruções!$B$5,"",AVERAGE(M33:Q33)/Instruções!$B$6-Instruções!$B$7)</f>
        <v/>
      </c>
      <c r="Y33" s="87" t="str">
        <f aca="false">IF(COUNT(R33:V33)&lt;Instruções!$B$5,"",AVERAGE(R33:V33)/Instruções!$B$6-Instruções!$B$7)</f>
        <v/>
      </c>
      <c r="Z33" s="88" t="str">
        <f aca="false">IF(OR(W33="",X33="",Y33=""),"",AVERAGE(W33:Y33))</f>
        <v/>
      </c>
      <c r="AA33" s="89" t="str">
        <f aca="false">IF(Z33="","",IF(Z33&gt;=Instruções!$B$8,"Manter",IF(Z33&gt;=Instruções!$B$9,"Revisar","Descartar")))</f>
        <v/>
      </c>
      <c r="AB33" s="110"/>
    </row>
    <row r="34" customFormat="false" ht="37.5" hidden="false" customHeight="true" outlineLevel="0" collapsed="false">
      <c r="A34" s="77" t="s">
        <v>337</v>
      </c>
      <c r="B34" s="78" t="s">
        <v>230</v>
      </c>
      <c r="C34" s="79" t="s">
        <v>325</v>
      </c>
      <c r="D34" s="80" t="s">
        <v>326</v>
      </c>
      <c r="E34" s="81" t="s">
        <v>275</v>
      </c>
      <c r="F34" s="82" t="s">
        <v>338</v>
      </c>
      <c r="H34" s="83"/>
      <c r="I34" s="84"/>
      <c r="J34" s="84"/>
      <c r="K34" s="84"/>
      <c r="L34" s="84"/>
      <c r="M34" s="83"/>
      <c r="N34" s="84"/>
      <c r="O34" s="84"/>
      <c r="P34" s="84"/>
      <c r="Q34" s="84"/>
      <c r="R34" s="83"/>
      <c r="S34" s="84"/>
      <c r="T34" s="84"/>
      <c r="U34" s="84"/>
      <c r="V34" s="85"/>
      <c r="W34" s="86" t="str">
        <f aca="false">IF(COUNT(H34:L34)&lt;Instruções!$B$5,"",AVERAGE(H34:L34)/Instruções!$B$6-Instruções!$B$7)</f>
        <v/>
      </c>
      <c r="X34" s="87" t="str">
        <f aca="false">IF(COUNT(M34:Q34)&lt;Instruções!$B$5,"",AVERAGE(M34:Q34)/Instruções!$B$6-Instruções!$B$7)</f>
        <v/>
      </c>
      <c r="Y34" s="87" t="str">
        <f aca="false">IF(COUNT(R34:V34)&lt;Instruções!$B$5,"",AVERAGE(R34:V34)/Instruções!$B$6-Instruções!$B$7)</f>
        <v/>
      </c>
      <c r="Z34" s="88" t="str">
        <f aca="false">IF(OR(W34="",X34="",Y34=""),"",AVERAGE(W34:Y34))</f>
        <v/>
      </c>
      <c r="AA34" s="89" t="str">
        <f aca="false">IF(Z34="","",IF(Z34&gt;=Instruções!$B$8,"Manter",IF(Z34&gt;=Instruções!$B$9,"Revisar","Descartar")))</f>
        <v/>
      </c>
      <c r="AB34" s="90"/>
    </row>
    <row r="35" customFormat="false" ht="37.5" hidden="false" customHeight="true" outlineLevel="0" collapsed="false">
      <c r="A35" s="77" t="s">
        <v>339</v>
      </c>
      <c r="B35" s="105" t="s">
        <v>230</v>
      </c>
      <c r="C35" s="106" t="s">
        <v>325</v>
      </c>
      <c r="D35" s="107" t="s">
        <v>326</v>
      </c>
      <c r="E35" s="108" t="s">
        <v>275</v>
      </c>
      <c r="F35" s="109" t="s">
        <v>340</v>
      </c>
      <c r="H35" s="83"/>
      <c r="I35" s="84"/>
      <c r="J35" s="84"/>
      <c r="K35" s="84"/>
      <c r="L35" s="84"/>
      <c r="M35" s="83"/>
      <c r="N35" s="84"/>
      <c r="O35" s="84"/>
      <c r="P35" s="84"/>
      <c r="Q35" s="84"/>
      <c r="R35" s="83"/>
      <c r="S35" s="84"/>
      <c r="T35" s="84"/>
      <c r="U35" s="84"/>
      <c r="V35" s="85"/>
      <c r="W35" s="86" t="str">
        <f aca="false">IF(COUNT(H35:L35)&lt;Instruções!$B$5,"",AVERAGE(H35:L35)/Instruções!$B$6-Instruções!$B$7)</f>
        <v/>
      </c>
      <c r="X35" s="87" t="str">
        <f aca="false">IF(COUNT(M35:Q35)&lt;Instruções!$B$5,"",AVERAGE(M35:Q35)/Instruções!$B$6-Instruções!$B$7)</f>
        <v/>
      </c>
      <c r="Y35" s="87" t="str">
        <f aca="false">IF(COUNT(R35:V35)&lt;Instruções!$B$5,"",AVERAGE(R35:V35)/Instruções!$B$6-Instruções!$B$7)</f>
        <v/>
      </c>
      <c r="Z35" s="88" t="str">
        <f aca="false">IF(OR(W35="",X35="",Y35=""),"",AVERAGE(W35:Y35))</f>
        <v/>
      </c>
      <c r="AA35" s="89" t="str">
        <f aca="false">IF(Z35="","",IF(Z35&gt;=Instruções!$B$8,"Manter",IF(Z35&gt;=Instruções!$B$9,"Revisar","Descartar")))</f>
        <v/>
      </c>
      <c r="AB35" s="110"/>
    </row>
    <row r="36" customFormat="false" ht="37.5" hidden="false" customHeight="true" outlineLevel="0" collapsed="false">
      <c r="A36" s="77" t="s">
        <v>341</v>
      </c>
      <c r="B36" s="78" t="s">
        <v>230</v>
      </c>
      <c r="C36" s="79" t="s">
        <v>325</v>
      </c>
      <c r="D36" s="80" t="s">
        <v>326</v>
      </c>
      <c r="E36" s="81" t="s">
        <v>275</v>
      </c>
      <c r="F36" s="82" t="s">
        <v>342</v>
      </c>
      <c r="H36" s="83"/>
      <c r="I36" s="84"/>
      <c r="J36" s="84"/>
      <c r="K36" s="84"/>
      <c r="L36" s="84"/>
      <c r="M36" s="83"/>
      <c r="N36" s="84"/>
      <c r="O36" s="84"/>
      <c r="P36" s="84"/>
      <c r="Q36" s="84"/>
      <c r="R36" s="83"/>
      <c r="S36" s="84"/>
      <c r="T36" s="84"/>
      <c r="U36" s="84"/>
      <c r="V36" s="85"/>
      <c r="W36" s="86" t="str">
        <f aca="false">IF(COUNT(H36:L36)&lt;Instruções!$B$5,"",AVERAGE(H36:L36)/Instruções!$B$6-Instruções!$B$7)</f>
        <v/>
      </c>
      <c r="X36" s="87" t="str">
        <f aca="false">IF(COUNT(M36:Q36)&lt;Instruções!$B$5,"",AVERAGE(M36:Q36)/Instruções!$B$6-Instruções!$B$7)</f>
        <v/>
      </c>
      <c r="Y36" s="87" t="str">
        <f aca="false">IF(COUNT(R36:V36)&lt;Instruções!$B$5,"",AVERAGE(R36:V36)/Instruções!$B$6-Instruções!$B$7)</f>
        <v/>
      </c>
      <c r="Z36" s="88" t="str">
        <f aca="false">IF(OR(W36="",X36="",Y36=""),"",AVERAGE(W36:Y36))</f>
        <v/>
      </c>
      <c r="AA36" s="89" t="str">
        <f aca="false">IF(Z36="","",IF(Z36&gt;=Instruções!$B$8,"Manter",IF(Z36&gt;=Instruções!$B$9,"Revisar","Descartar")))</f>
        <v/>
      </c>
      <c r="AB36" s="90"/>
    </row>
    <row r="37" customFormat="false" ht="51.75" hidden="false" customHeight="true" outlineLevel="0" collapsed="false">
      <c r="A37" s="77" t="s">
        <v>343</v>
      </c>
      <c r="B37" s="105" t="s">
        <v>230</v>
      </c>
      <c r="C37" s="106" t="s">
        <v>325</v>
      </c>
      <c r="D37" s="107" t="s">
        <v>326</v>
      </c>
      <c r="E37" s="108" t="s">
        <v>278</v>
      </c>
      <c r="F37" s="109" t="s">
        <v>344</v>
      </c>
      <c r="H37" s="83"/>
      <c r="I37" s="84"/>
      <c r="J37" s="84"/>
      <c r="K37" s="84"/>
      <c r="L37" s="84"/>
      <c r="M37" s="83"/>
      <c r="N37" s="84"/>
      <c r="O37" s="84"/>
      <c r="P37" s="84"/>
      <c r="Q37" s="84"/>
      <c r="R37" s="83"/>
      <c r="S37" s="84"/>
      <c r="T37" s="84"/>
      <c r="U37" s="84"/>
      <c r="V37" s="85"/>
      <c r="W37" s="86" t="str">
        <f aca="false">IF(COUNT(H37:L37)&lt;Instruções!$B$5,"",AVERAGE(H37:L37)/Instruções!$B$6-Instruções!$B$7)</f>
        <v/>
      </c>
      <c r="X37" s="87" t="str">
        <f aca="false">IF(COUNT(M37:Q37)&lt;Instruções!$B$5,"",AVERAGE(M37:Q37)/Instruções!$B$6-Instruções!$B$7)</f>
        <v/>
      </c>
      <c r="Y37" s="87" t="str">
        <f aca="false">IF(COUNT(R37:V37)&lt;Instruções!$B$5,"",AVERAGE(R37:V37)/Instruções!$B$6-Instruções!$B$7)</f>
        <v/>
      </c>
      <c r="Z37" s="88" t="str">
        <f aca="false">IF(OR(W37="",X37="",Y37=""),"",AVERAGE(W37:Y37))</f>
        <v/>
      </c>
      <c r="AA37" s="89" t="str">
        <f aca="false">IF(Z37="","",IF(Z37&gt;=Instruções!$B$8,"Manter",IF(Z37&gt;=Instruções!$B$9,"Revisar","Descartar")))</f>
        <v/>
      </c>
      <c r="AB37" s="110"/>
    </row>
    <row r="38" customFormat="false" ht="51.75" hidden="false" customHeight="true" outlineLevel="0" collapsed="false">
      <c r="A38" s="77" t="s">
        <v>345</v>
      </c>
      <c r="B38" s="78" t="s">
        <v>230</v>
      </c>
      <c r="C38" s="79" t="s">
        <v>325</v>
      </c>
      <c r="D38" s="80" t="s">
        <v>326</v>
      </c>
      <c r="E38" s="81" t="s">
        <v>278</v>
      </c>
      <c r="F38" s="82" t="s">
        <v>346</v>
      </c>
      <c r="H38" s="83"/>
      <c r="I38" s="84"/>
      <c r="J38" s="84"/>
      <c r="K38" s="84"/>
      <c r="L38" s="84"/>
      <c r="M38" s="83"/>
      <c r="N38" s="84"/>
      <c r="O38" s="84"/>
      <c r="P38" s="84"/>
      <c r="Q38" s="84"/>
      <c r="R38" s="83"/>
      <c r="S38" s="84"/>
      <c r="T38" s="84"/>
      <c r="U38" s="84"/>
      <c r="V38" s="85"/>
      <c r="W38" s="86" t="str">
        <f aca="false">IF(COUNT(H38:L38)&lt;Instruções!$B$5,"",AVERAGE(H38:L38)/Instruções!$B$6-Instruções!$B$7)</f>
        <v/>
      </c>
      <c r="X38" s="87" t="str">
        <f aca="false">IF(COUNT(M38:Q38)&lt;Instruções!$B$5,"",AVERAGE(M38:Q38)/Instruções!$B$6-Instruções!$B$7)</f>
        <v/>
      </c>
      <c r="Y38" s="87" t="str">
        <f aca="false">IF(COUNT(R38:V38)&lt;Instruções!$B$5,"",AVERAGE(R38:V38)/Instruções!$B$6-Instruções!$B$7)</f>
        <v/>
      </c>
      <c r="Z38" s="88" t="str">
        <f aca="false">IF(OR(W38="",X38="",Y38=""),"",AVERAGE(W38:Y38))</f>
        <v/>
      </c>
      <c r="AA38" s="89" t="str">
        <f aca="false">IF(Z38="","",IF(Z38&gt;=Instruções!$B$8,"Manter",IF(Z38&gt;=Instruções!$B$9,"Revisar","Descartar")))</f>
        <v/>
      </c>
      <c r="AB38" s="90"/>
    </row>
    <row r="39" customFormat="false" ht="37.5" hidden="false" customHeight="true" outlineLevel="0" collapsed="false">
      <c r="A39" s="77" t="s">
        <v>347</v>
      </c>
      <c r="B39" s="105" t="s">
        <v>230</v>
      </c>
      <c r="C39" s="106" t="s">
        <v>325</v>
      </c>
      <c r="D39" s="107" t="s">
        <v>326</v>
      </c>
      <c r="E39" s="108" t="s">
        <v>278</v>
      </c>
      <c r="F39" s="109" t="s">
        <v>348</v>
      </c>
      <c r="H39" s="83"/>
      <c r="I39" s="84"/>
      <c r="J39" s="84"/>
      <c r="K39" s="84"/>
      <c r="L39" s="84"/>
      <c r="M39" s="83"/>
      <c r="N39" s="84"/>
      <c r="O39" s="84"/>
      <c r="P39" s="84"/>
      <c r="Q39" s="84"/>
      <c r="R39" s="83"/>
      <c r="S39" s="84"/>
      <c r="T39" s="84"/>
      <c r="U39" s="84"/>
      <c r="V39" s="85"/>
      <c r="W39" s="86" t="str">
        <f aca="false">IF(COUNT(H39:L39)&lt;Instruções!$B$5,"",AVERAGE(H39:L39)/Instruções!$B$6-Instruções!$B$7)</f>
        <v/>
      </c>
      <c r="X39" s="87" t="str">
        <f aca="false">IF(COUNT(M39:Q39)&lt;Instruções!$B$5,"",AVERAGE(M39:Q39)/Instruções!$B$6-Instruções!$B$7)</f>
        <v/>
      </c>
      <c r="Y39" s="87" t="str">
        <f aca="false">IF(COUNT(R39:V39)&lt;Instruções!$B$5,"",AVERAGE(R39:V39)/Instruções!$B$6-Instruções!$B$7)</f>
        <v/>
      </c>
      <c r="Z39" s="88" t="str">
        <f aca="false">IF(OR(W39="",X39="",Y39=""),"",AVERAGE(W39:Y39))</f>
        <v/>
      </c>
      <c r="AA39" s="89" t="str">
        <f aca="false">IF(Z39="","",IF(Z39&gt;=Instruções!$B$8,"Manter",IF(Z39&gt;=Instruções!$B$9,"Revisar","Descartar")))</f>
        <v/>
      </c>
      <c r="AB39" s="110"/>
    </row>
    <row r="40" customFormat="false" ht="51.75" hidden="false" customHeight="true" outlineLevel="0" collapsed="false">
      <c r="A40" s="77" t="s">
        <v>349</v>
      </c>
      <c r="B40" s="78" t="s">
        <v>230</v>
      </c>
      <c r="C40" s="79" t="s">
        <v>325</v>
      </c>
      <c r="D40" s="80" t="s">
        <v>326</v>
      </c>
      <c r="E40" s="81" t="s">
        <v>350</v>
      </c>
      <c r="F40" s="82" t="s">
        <v>351</v>
      </c>
      <c r="H40" s="83"/>
      <c r="I40" s="84"/>
      <c r="J40" s="84"/>
      <c r="K40" s="84"/>
      <c r="L40" s="84"/>
      <c r="M40" s="83"/>
      <c r="N40" s="84"/>
      <c r="O40" s="84"/>
      <c r="P40" s="84"/>
      <c r="Q40" s="84"/>
      <c r="R40" s="83"/>
      <c r="S40" s="84"/>
      <c r="T40" s="84"/>
      <c r="U40" s="84"/>
      <c r="V40" s="85"/>
      <c r="W40" s="86" t="str">
        <f aca="false">IF(COUNT(H40:L40)&lt;Instruções!$B$5,"",AVERAGE(H40:L40)/Instruções!$B$6-Instruções!$B$7)</f>
        <v/>
      </c>
      <c r="X40" s="87" t="str">
        <f aca="false">IF(COUNT(M40:Q40)&lt;Instruções!$B$5,"",AVERAGE(M40:Q40)/Instruções!$B$6-Instruções!$B$7)</f>
        <v/>
      </c>
      <c r="Y40" s="87" t="str">
        <f aca="false">IF(COUNT(R40:V40)&lt;Instruções!$B$5,"",AVERAGE(R40:V40)/Instruções!$B$6-Instruções!$B$7)</f>
        <v/>
      </c>
      <c r="Z40" s="88" t="str">
        <f aca="false">IF(OR(W40="",X40="",Y40=""),"",AVERAGE(W40:Y40))</f>
        <v/>
      </c>
      <c r="AA40" s="89" t="str">
        <f aca="false">IF(Z40="","",IF(Z40&gt;=Instruções!$B$8,"Manter",IF(Z40&gt;=Instruções!$B$9,"Revisar","Descartar")))</f>
        <v/>
      </c>
      <c r="AB40" s="90"/>
    </row>
    <row r="41" customFormat="false" ht="51.75" hidden="false" customHeight="true" outlineLevel="0" collapsed="false">
      <c r="A41" s="77" t="s">
        <v>352</v>
      </c>
      <c r="B41" s="105" t="s">
        <v>230</v>
      </c>
      <c r="C41" s="106" t="s">
        <v>325</v>
      </c>
      <c r="D41" s="107" t="s">
        <v>326</v>
      </c>
      <c r="E41" s="108" t="s">
        <v>350</v>
      </c>
      <c r="F41" s="109" t="s">
        <v>353</v>
      </c>
      <c r="H41" s="83"/>
      <c r="I41" s="84"/>
      <c r="J41" s="84"/>
      <c r="K41" s="84"/>
      <c r="L41" s="84"/>
      <c r="M41" s="83"/>
      <c r="N41" s="84"/>
      <c r="O41" s="84"/>
      <c r="P41" s="84"/>
      <c r="Q41" s="84"/>
      <c r="R41" s="83"/>
      <c r="S41" s="84"/>
      <c r="T41" s="84"/>
      <c r="U41" s="84"/>
      <c r="V41" s="85"/>
      <c r="W41" s="86" t="str">
        <f aca="false">IF(COUNT(H41:L41)&lt;Instruções!$B$5,"",AVERAGE(H41:L41)/Instruções!$B$6-Instruções!$B$7)</f>
        <v/>
      </c>
      <c r="X41" s="87" t="str">
        <f aca="false">IF(COUNT(M41:Q41)&lt;Instruções!$B$5,"",AVERAGE(M41:Q41)/Instruções!$B$6-Instruções!$B$7)</f>
        <v/>
      </c>
      <c r="Y41" s="87" t="str">
        <f aca="false">IF(COUNT(R41:V41)&lt;Instruções!$B$5,"",AVERAGE(R41:V41)/Instruções!$B$6-Instruções!$B$7)</f>
        <v/>
      </c>
      <c r="Z41" s="88" t="str">
        <f aca="false">IF(OR(W41="",X41="",Y41=""),"",AVERAGE(W41:Y41))</f>
        <v/>
      </c>
      <c r="AA41" s="89" t="str">
        <f aca="false">IF(Z41="","",IF(Z41&gt;=Instruções!$B$8,"Manter",IF(Z41&gt;=Instruções!$B$9,"Revisar","Descartar")))</f>
        <v/>
      </c>
      <c r="AB41" s="110"/>
    </row>
    <row r="42" customFormat="false" ht="51.75" hidden="false" customHeight="true" outlineLevel="0" collapsed="false">
      <c r="A42" s="77" t="s">
        <v>354</v>
      </c>
      <c r="B42" s="78" t="s">
        <v>230</v>
      </c>
      <c r="C42" s="79" t="s">
        <v>325</v>
      </c>
      <c r="D42" s="80" t="s">
        <v>326</v>
      </c>
      <c r="E42" s="81" t="s">
        <v>350</v>
      </c>
      <c r="F42" s="82" t="s">
        <v>355</v>
      </c>
      <c r="H42" s="83"/>
      <c r="I42" s="84"/>
      <c r="J42" s="84"/>
      <c r="K42" s="84"/>
      <c r="L42" s="84"/>
      <c r="M42" s="83"/>
      <c r="N42" s="84"/>
      <c r="O42" s="84"/>
      <c r="P42" s="84"/>
      <c r="Q42" s="84"/>
      <c r="R42" s="83"/>
      <c r="S42" s="84"/>
      <c r="T42" s="84"/>
      <c r="U42" s="84"/>
      <c r="V42" s="85"/>
      <c r="W42" s="86" t="str">
        <f aca="false">IF(COUNT(H42:L42)&lt;Instruções!$B$5,"",AVERAGE(H42:L42)/Instruções!$B$6-Instruções!$B$7)</f>
        <v/>
      </c>
      <c r="X42" s="87" t="str">
        <f aca="false">IF(COUNT(M42:Q42)&lt;Instruções!$B$5,"",AVERAGE(M42:Q42)/Instruções!$B$6-Instruções!$B$7)</f>
        <v/>
      </c>
      <c r="Y42" s="87" t="str">
        <f aca="false">IF(COUNT(R42:V42)&lt;Instruções!$B$5,"",AVERAGE(R42:V42)/Instruções!$B$6-Instruções!$B$7)</f>
        <v/>
      </c>
      <c r="Z42" s="88" t="str">
        <f aca="false">IF(OR(W42="",X42="",Y42=""),"",AVERAGE(W42:Y42))</f>
        <v/>
      </c>
      <c r="AA42" s="89" t="str">
        <f aca="false">IF(Z42="","",IF(Z42&gt;=Instruções!$B$8,"Manter",IF(Z42&gt;=Instruções!$B$9,"Revisar","Descartar")))</f>
        <v/>
      </c>
      <c r="AB42" s="90"/>
    </row>
    <row r="43" customFormat="false" ht="51.75" hidden="false" customHeight="true" outlineLevel="0" collapsed="false">
      <c r="A43" s="117" t="s">
        <v>356</v>
      </c>
      <c r="B43" s="117"/>
      <c r="C43" s="117"/>
      <c r="D43" s="117"/>
      <c r="E43" s="117"/>
      <c r="F43" s="117"/>
      <c r="G43" s="118"/>
      <c r="H43" s="119"/>
      <c r="I43" s="118"/>
      <c r="J43" s="118"/>
      <c r="K43" s="118"/>
      <c r="L43" s="118"/>
      <c r="M43" s="119"/>
      <c r="N43" s="118"/>
      <c r="O43" s="118"/>
      <c r="P43" s="118"/>
      <c r="Q43" s="118"/>
      <c r="R43" s="119"/>
      <c r="S43" s="118"/>
      <c r="T43" s="118"/>
      <c r="U43" s="118"/>
      <c r="V43" s="120"/>
      <c r="W43" s="119"/>
      <c r="X43" s="118"/>
      <c r="Y43" s="118"/>
      <c r="Z43" s="118"/>
      <c r="AA43" s="119"/>
      <c r="AB43" s="119"/>
    </row>
    <row r="44" customFormat="false" ht="66" hidden="false" customHeight="true" outlineLevel="0" collapsed="false">
      <c r="A44" s="121" t="s">
        <v>357</v>
      </c>
      <c r="B44" s="78" t="s">
        <v>235</v>
      </c>
      <c r="C44" s="79" t="s">
        <v>358</v>
      </c>
      <c r="D44" s="80" t="s">
        <v>118</v>
      </c>
      <c r="E44" s="81" t="s">
        <v>282</v>
      </c>
      <c r="F44" s="82" t="s">
        <v>359</v>
      </c>
      <c r="H44" s="83"/>
      <c r="I44" s="84"/>
      <c r="J44" s="84"/>
      <c r="K44" s="84"/>
      <c r="L44" s="84"/>
      <c r="M44" s="83"/>
      <c r="N44" s="84"/>
      <c r="O44" s="84"/>
      <c r="P44" s="84"/>
      <c r="Q44" s="84"/>
      <c r="R44" s="83"/>
      <c r="S44" s="84"/>
      <c r="T44" s="84"/>
      <c r="U44" s="84"/>
      <c r="V44" s="85"/>
      <c r="W44" s="86" t="str">
        <f aca="false">IF(COUNT(H44:L44)&lt;Instruções!$B$5,"",AVERAGE(H44:L44)/Instruções!$B$6-Instruções!$B$7)</f>
        <v/>
      </c>
      <c r="X44" s="87" t="str">
        <f aca="false">IF(COUNT(M44:Q44)&lt;Instruções!$B$5,"",AVERAGE(M44:Q44)/Instruções!$B$6-Instruções!$B$7)</f>
        <v/>
      </c>
      <c r="Y44" s="87" t="str">
        <f aca="false">IF(COUNT(R44:V44)&lt;Instruções!$B$5,"",AVERAGE(R44:V44)/Instruções!$B$6-Instruções!$B$7)</f>
        <v/>
      </c>
      <c r="Z44" s="88" t="str">
        <f aca="false">IF(OR(W44="",X44="",Y44=""),"",AVERAGE(W44:Y44))</f>
        <v/>
      </c>
      <c r="AA44" s="89" t="str">
        <f aca="false">IF(Z44="","",IF(Z44&gt;=Instruções!$B$8,"Manter",IF(Z44&gt;=Instruções!$B$9,"Revisar","Descartar")))</f>
        <v/>
      </c>
      <c r="AB44" s="90"/>
    </row>
    <row r="45" customFormat="false" ht="66" hidden="false" customHeight="true" outlineLevel="0" collapsed="false">
      <c r="A45" s="122" t="s">
        <v>360</v>
      </c>
      <c r="B45" s="92" t="s">
        <v>235</v>
      </c>
      <c r="C45" s="93" t="s">
        <v>358</v>
      </c>
      <c r="D45" s="94" t="s">
        <v>271</v>
      </c>
      <c r="E45" s="95" t="s">
        <v>275</v>
      </c>
      <c r="F45" s="96" t="s">
        <v>361</v>
      </c>
      <c r="H45" s="97"/>
      <c r="I45" s="98"/>
      <c r="J45" s="98"/>
      <c r="K45" s="98"/>
      <c r="L45" s="98"/>
      <c r="M45" s="97"/>
      <c r="N45" s="98"/>
      <c r="O45" s="98"/>
      <c r="P45" s="98"/>
      <c r="Q45" s="98"/>
      <c r="R45" s="97"/>
      <c r="S45" s="98"/>
      <c r="T45" s="98"/>
      <c r="U45" s="98"/>
      <c r="V45" s="99"/>
      <c r="W45" s="100" t="str">
        <f aca="false">IF(COUNT(H45:L45)&lt;Instruções!$B$5,"",AVERAGE(H45:L45)/Instruções!$B$6-Instruções!$B$7)</f>
        <v/>
      </c>
      <c r="X45" s="101" t="str">
        <f aca="false">IF(COUNT(M45:Q45)&lt;Instruções!$B$5,"",AVERAGE(M45:Q45)/Instruções!$B$6-Instruções!$B$7)</f>
        <v/>
      </c>
      <c r="Y45" s="101" t="str">
        <f aca="false">IF(COUNT(R45:V45)&lt;Instruções!$B$5,"",AVERAGE(R45:V45)/Instruções!$B$6-Instruções!$B$7)</f>
        <v/>
      </c>
      <c r="Z45" s="102" t="str">
        <f aca="false">IF(OR(W45="",X45="",Y45=""),"",AVERAGE(W45:Y45))</f>
        <v/>
      </c>
      <c r="AA45" s="103" t="str">
        <f aca="false">IF(Z45="","",IF(Z45&gt;=Instruções!$B$8,"Manter",IF(Z45&gt;=Instruções!$B$9,"Revisar","Descartar")))</f>
        <v/>
      </c>
      <c r="AB45" s="104"/>
    </row>
    <row r="46" customFormat="false" ht="51.75" hidden="false" customHeight="true" outlineLevel="0" collapsed="false">
      <c r="A46" s="121" t="s">
        <v>362</v>
      </c>
      <c r="B46" s="105" t="s">
        <v>235</v>
      </c>
      <c r="C46" s="106" t="s">
        <v>363</v>
      </c>
      <c r="D46" s="107" t="s">
        <v>118</v>
      </c>
      <c r="E46" s="108" t="s">
        <v>282</v>
      </c>
      <c r="F46" s="109" t="s">
        <v>364</v>
      </c>
      <c r="H46" s="83"/>
      <c r="I46" s="84"/>
      <c r="J46" s="84"/>
      <c r="K46" s="84"/>
      <c r="L46" s="84"/>
      <c r="M46" s="83"/>
      <c r="N46" s="84"/>
      <c r="O46" s="84"/>
      <c r="P46" s="84"/>
      <c r="Q46" s="84"/>
      <c r="R46" s="83"/>
      <c r="S46" s="84"/>
      <c r="T46" s="84"/>
      <c r="U46" s="84"/>
      <c r="V46" s="85"/>
      <c r="W46" s="86" t="str">
        <f aca="false">IF(COUNT(H46:L46)&lt;Instruções!$B$5,"",AVERAGE(H46:L46)/Instruções!$B$6-Instruções!$B$7)</f>
        <v/>
      </c>
      <c r="X46" s="87" t="str">
        <f aca="false">IF(COUNT(M46:Q46)&lt;Instruções!$B$5,"",AVERAGE(M46:Q46)/Instruções!$B$6-Instruções!$B$7)</f>
        <v/>
      </c>
      <c r="Y46" s="87" t="str">
        <f aca="false">IF(COUNT(R46:V46)&lt;Instruções!$B$5,"",AVERAGE(R46:V46)/Instruções!$B$6-Instruções!$B$7)</f>
        <v/>
      </c>
      <c r="Z46" s="88" t="str">
        <f aca="false">IF(OR(W46="",X46="",Y46=""),"",AVERAGE(W46:Y46))</f>
        <v/>
      </c>
      <c r="AA46" s="89" t="str">
        <f aca="false">IF(Z46="","",IF(Z46&gt;=Instruções!$B$8,"Manter",IF(Z46&gt;=Instruções!$B$9,"Revisar","Descartar")))</f>
        <v/>
      </c>
      <c r="AB46" s="110"/>
    </row>
    <row r="47" customFormat="false" ht="51.75" hidden="false" customHeight="true" outlineLevel="0" collapsed="false">
      <c r="A47" s="122" t="s">
        <v>365</v>
      </c>
      <c r="B47" s="111" t="s">
        <v>235</v>
      </c>
      <c r="C47" s="112" t="s">
        <v>363</v>
      </c>
      <c r="D47" s="113" t="s">
        <v>271</v>
      </c>
      <c r="E47" s="114" t="s">
        <v>275</v>
      </c>
      <c r="F47" s="115" t="s">
        <v>366</v>
      </c>
      <c r="H47" s="97"/>
      <c r="I47" s="98"/>
      <c r="J47" s="98"/>
      <c r="K47" s="98"/>
      <c r="L47" s="98"/>
      <c r="M47" s="97"/>
      <c r="N47" s="98"/>
      <c r="O47" s="98"/>
      <c r="P47" s="98"/>
      <c r="Q47" s="98"/>
      <c r="R47" s="97"/>
      <c r="S47" s="98"/>
      <c r="T47" s="98"/>
      <c r="U47" s="98"/>
      <c r="V47" s="99"/>
      <c r="W47" s="100" t="str">
        <f aca="false">IF(COUNT(H47:L47)&lt;Instruções!$B$5,"",AVERAGE(H47:L47)/Instruções!$B$6-Instruções!$B$7)</f>
        <v/>
      </c>
      <c r="X47" s="101" t="str">
        <f aca="false">IF(COUNT(M47:Q47)&lt;Instruções!$B$5,"",AVERAGE(M47:Q47)/Instruções!$B$6-Instruções!$B$7)</f>
        <v/>
      </c>
      <c r="Y47" s="101" t="str">
        <f aca="false">IF(COUNT(R47:V47)&lt;Instruções!$B$5,"",AVERAGE(R47:V47)/Instruções!$B$6-Instruções!$B$7)</f>
        <v/>
      </c>
      <c r="Z47" s="102" t="str">
        <f aca="false">IF(OR(W47="",X47="",Y47=""),"",AVERAGE(W47:Y47))</f>
        <v/>
      </c>
      <c r="AA47" s="103" t="str">
        <f aca="false">IF(Z47="","",IF(Z47&gt;=Instruções!$B$8,"Manter",IF(Z47&gt;=Instruções!$B$9,"Revisar","Descartar")))</f>
        <v/>
      </c>
      <c r="AB47" s="116"/>
    </row>
    <row r="48" customFormat="false" ht="51.75" hidden="false" customHeight="true" outlineLevel="0" collapsed="false">
      <c r="A48" s="121" t="s">
        <v>367</v>
      </c>
      <c r="B48" s="78" t="s">
        <v>235</v>
      </c>
      <c r="C48" s="79" t="s">
        <v>368</v>
      </c>
      <c r="D48" s="80" t="s">
        <v>118</v>
      </c>
      <c r="E48" s="81" t="s">
        <v>282</v>
      </c>
      <c r="F48" s="82" t="s">
        <v>369</v>
      </c>
      <c r="H48" s="83"/>
      <c r="I48" s="84"/>
      <c r="J48" s="84"/>
      <c r="K48" s="84"/>
      <c r="L48" s="84"/>
      <c r="M48" s="83"/>
      <c r="N48" s="84"/>
      <c r="O48" s="84"/>
      <c r="P48" s="84"/>
      <c r="Q48" s="84"/>
      <c r="R48" s="83"/>
      <c r="S48" s="84"/>
      <c r="T48" s="84"/>
      <c r="U48" s="84"/>
      <c r="V48" s="85"/>
      <c r="W48" s="86" t="str">
        <f aca="false">IF(COUNT(H48:L48)&lt;Instruções!$B$5,"",AVERAGE(H48:L48)/Instruções!$B$6-Instruções!$B$7)</f>
        <v/>
      </c>
      <c r="X48" s="87" t="str">
        <f aca="false">IF(COUNT(M48:Q48)&lt;Instruções!$B$5,"",AVERAGE(M48:Q48)/Instruções!$B$6-Instruções!$B$7)</f>
        <v/>
      </c>
      <c r="Y48" s="87" t="str">
        <f aca="false">IF(COUNT(R48:V48)&lt;Instruções!$B$5,"",AVERAGE(R48:V48)/Instruções!$B$6-Instruções!$B$7)</f>
        <v/>
      </c>
      <c r="Z48" s="88" t="str">
        <f aca="false">IF(OR(W48="",X48="",Y48=""),"",AVERAGE(W48:Y48))</f>
        <v/>
      </c>
      <c r="AA48" s="89" t="str">
        <f aca="false">IF(Z48="","",IF(Z48&gt;=Instruções!$B$8,"Manter",IF(Z48&gt;=Instruções!$B$9,"Revisar","Descartar")))</f>
        <v/>
      </c>
      <c r="AB48" s="90"/>
    </row>
    <row r="49" customFormat="false" ht="51.75" hidden="false" customHeight="true" outlineLevel="0" collapsed="false">
      <c r="A49" s="122" t="s">
        <v>370</v>
      </c>
      <c r="B49" s="92" t="s">
        <v>235</v>
      </c>
      <c r="C49" s="93" t="s">
        <v>368</v>
      </c>
      <c r="D49" s="94" t="s">
        <v>271</v>
      </c>
      <c r="E49" s="95" t="s">
        <v>275</v>
      </c>
      <c r="F49" s="96" t="s">
        <v>371</v>
      </c>
      <c r="H49" s="97"/>
      <c r="I49" s="98"/>
      <c r="J49" s="98"/>
      <c r="K49" s="98"/>
      <c r="L49" s="98"/>
      <c r="M49" s="97"/>
      <c r="N49" s="98"/>
      <c r="O49" s="98"/>
      <c r="P49" s="98"/>
      <c r="Q49" s="98"/>
      <c r="R49" s="97"/>
      <c r="S49" s="98"/>
      <c r="T49" s="98"/>
      <c r="U49" s="98"/>
      <c r="V49" s="99"/>
      <c r="W49" s="100" t="str">
        <f aca="false">IF(COUNT(H49:L49)&lt;Instruções!$B$5,"",AVERAGE(H49:L49)/Instruções!$B$6-Instruções!$B$7)</f>
        <v/>
      </c>
      <c r="X49" s="101" t="str">
        <f aca="false">IF(COUNT(M49:Q49)&lt;Instruções!$B$5,"",AVERAGE(M49:Q49)/Instruções!$B$6-Instruções!$B$7)</f>
        <v/>
      </c>
      <c r="Y49" s="101" t="str">
        <f aca="false">IF(COUNT(R49:V49)&lt;Instruções!$B$5,"",AVERAGE(R49:V49)/Instruções!$B$6-Instruções!$B$7)</f>
        <v/>
      </c>
      <c r="Z49" s="102" t="str">
        <f aca="false">IF(OR(W49="",X49="",Y49=""),"",AVERAGE(W49:Y49))</f>
        <v/>
      </c>
      <c r="AA49" s="103" t="str">
        <f aca="false">IF(Z49="","",IF(Z49&gt;=Instruções!$B$8,"Manter",IF(Z49&gt;=Instruções!$B$9,"Revisar","Descartar")))</f>
        <v/>
      </c>
      <c r="AB49" s="104"/>
    </row>
    <row r="50" customFormat="false" ht="37.5" hidden="false" customHeight="true" outlineLevel="0" collapsed="false">
      <c r="A50" s="121" t="s">
        <v>372</v>
      </c>
      <c r="B50" s="105" t="s">
        <v>235</v>
      </c>
      <c r="C50" s="106" t="s">
        <v>373</v>
      </c>
      <c r="D50" s="107" t="s">
        <v>118</v>
      </c>
      <c r="E50" s="108" t="s">
        <v>327</v>
      </c>
      <c r="F50" s="109" t="s">
        <v>374</v>
      </c>
      <c r="H50" s="83"/>
      <c r="I50" s="84"/>
      <c r="J50" s="84"/>
      <c r="K50" s="84"/>
      <c r="L50" s="84"/>
      <c r="M50" s="83"/>
      <c r="N50" s="84"/>
      <c r="O50" s="84"/>
      <c r="P50" s="84"/>
      <c r="Q50" s="84"/>
      <c r="R50" s="83"/>
      <c r="S50" s="84"/>
      <c r="T50" s="84"/>
      <c r="U50" s="84"/>
      <c r="V50" s="85"/>
      <c r="W50" s="86" t="str">
        <f aca="false">IF(COUNT(H50:L50)&lt;Instruções!$B$5,"",AVERAGE(H50:L50)/Instruções!$B$6-Instruções!$B$7)</f>
        <v/>
      </c>
      <c r="X50" s="87" t="str">
        <f aca="false">IF(COUNT(M50:Q50)&lt;Instruções!$B$5,"",AVERAGE(M50:Q50)/Instruções!$B$6-Instruções!$B$7)</f>
        <v/>
      </c>
      <c r="Y50" s="87" t="str">
        <f aca="false">IF(COUNT(R50:V50)&lt;Instruções!$B$5,"",AVERAGE(R50:V50)/Instruções!$B$6-Instruções!$B$7)</f>
        <v/>
      </c>
      <c r="Z50" s="88" t="str">
        <f aca="false">IF(OR(W50="",X50="",Y50=""),"",AVERAGE(W50:Y50))</f>
        <v/>
      </c>
      <c r="AA50" s="89" t="str">
        <f aca="false">IF(Z50="","",IF(Z50&gt;=Instruções!$B$8,"Manter",IF(Z50&gt;=Instruções!$B$9,"Revisar","Descartar")))</f>
        <v/>
      </c>
      <c r="AB50" s="110"/>
    </row>
    <row r="51" customFormat="false" ht="51.75" hidden="false" customHeight="true" outlineLevel="0" collapsed="false">
      <c r="A51" s="122" t="s">
        <v>375</v>
      </c>
      <c r="B51" s="111" t="s">
        <v>235</v>
      </c>
      <c r="C51" s="112" t="s">
        <v>373</v>
      </c>
      <c r="D51" s="113" t="s">
        <v>271</v>
      </c>
      <c r="E51" s="114" t="s">
        <v>376</v>
      </c>
      <c r="F51" s="115" t="s">
        <v>377</v>
      </c>
      <c r="H51" s="97"/>
      <c r="I51" s="98"/>
      <c r="J51" s="98"/>
      <c r="K51" s="98"/>
      <c r="L51" s="98"/>
      <c r="M51" s="97"/>
      <c r="N51" s="98"/>
      <c r="O51" s="98"/>
      <c r="P51" s="98"/>
      <c r="Q51" s="98"/>
      <c r="R51" s="97"/>
      <c r="S51" s="98"/>
      <c r="T51" s="98"/>
      <c r="U51" s="98"/>
      <c r="V51" s="99"/>
      <c r="W51" s="100" t="str">
        <f aca="false">IF(COUNT(H51:L51)&lt;Instruções!$B$5,"",AVERAGE(H51:L51)/Instruções!$B$6-Instruções!$B$7)</f>
        <v/>
      </c>
      <c r="X51" s="101" t="str">
        <f aca="false">IF(COUNT(M51:Q51)&lt;Instruções!$B$5,"",AVERAGE(M51:Q51)/Instruções!$B$6-Instruções!$B$7)</f>
        <v/>
      </c>
      <c r="Y51" s="101" t="str">
        <f aca="false">IF(COUNT(R51:V51)&lt;Instruções!$B$5,"",AVERAGE(R51:V51)/Instruções!$B$6-Instruções!$B$7)</f>
        <v/>
      </c>
      <c r="Z51" s="102" t="str">
        <f aca="false">IF(OR(W51="",X51="",Y51=""),"",AVERAGE(W51:Y51))</f>
        <v/>
      </c>
      <c r="AA51" s="103" t="str">
        <f aca="false">IF(Z51="","",IF(Z51&gt;=Instruções!$B$8,"Manter",IF(Z51&gt;=Instruções!$B$9,"Revisar","Descartar")))</f>
        <v/>
      </c>
      <c r="AB51" s="116"/>
    </row>
    <row r="52" customFormat="false" ht="51.75" hidden="false" customHeight="true" outlineLevel="0" collapsed="false">
      <c r="A52" s="122" t="s">
        <v>378</v>
      </c>
      <c r="B52" s="111" t="s">
        <v>235</v>
      </c>
      <c r="C52" s="112" t="s">
        <v>373</v>
      </c>
      <c r="D52" s="113" t="s">
        <v>271</v>
      </c>
      <c r="E52" s="114" t="s">
        <v>350</v>
      </c>
      <c r="F52" s="115" t="s">
        <v>379</v>
      </c>
      <c r="H52" s="97"/>
      <c r="I52" s="98"/>
      <c r="J52" s="98"/>
      <c r="K52" s="98"/>
      <c r="L52" s="98"/>
      <c r="M52" s="97"/>
      <c r="N52" s="98"/>
      <c r="O52" s="98"/>
      <c r="P52" s="98"/>
      <c r="Q52" s="98"/>
      <c r="R52" s="97"/>
      <c r="S52" s="98"/>
      <c r="T52" s="98"/>
      <c r="U52" s="98"/>
      <c r="V52" s="99"/>
      <c r="W52" s="100" t="str">
        <f aca="false">IF(COUNT(H52:L52)&lt;Instruções!$B$5,"",AVERAGE(H52:L52)/Instruções!$B$6-Instruções!$B$7)</f>
        <v/>
      </c>
      <c r="X52" s="101" t="str">
        <f aca="false">IF(COUNT(M52:Q52)&lt;Instruções!$B$5,"",AVERAGE(M52:Q52)/Instruções!$B$6-Instruções!$B$7)</f>
        <v/>
      </c>
      <c r="Y52" s="101" t="str">
        <f aca="false">IF(COUNT(R52:V52)&lt;Instruções!$B$5,"",AVERAGE(R52:V52)/Instruções!$B$6-Instruções!$B$7)</f>
        <v/>
      </c>
      <c r="Z52" s="102" t="str">
        <f aca="false">IF(OR(W52="",X52="",Y52=""),"",AVERAGE(W52:Y52))</f>
        <v/>
      </c>
      <c r="AA52" s="103" t="str">
        <f aca="false">IF(Z52="","",IF(Z52&gt;=Instruções!$B$8,"Manter",IF(Z52&gt;=Instruções!$B$9,"Revisar","Descartar")))</f>
        <v/>
      </c>
      <c r="AB52" s="116"/>
    </row>
    <row r="53" customFormat="false" ht="51.75" hidden="false" customHeight="true" outlineLevel="0" collapsed="false">
      <c r="A53" s="121" t="s">
        <v>380</v>
      </c>
      <c r="B53" s="78" t="s">
        <v>235</v>
      </c>
      <c r="C53" s="79" t="s">
        <v>381</v>
      </c>
      <c r="D53" s="80" t="s">
        <v>118</v>
      </c>
      <c r="E53" s="81" t="s">
        <v>268</v>
      </c>
      <c r="F53" s="82" t="s">
        <v>382</v>
      </c>
      <c r="H53" s="83"/>
      <c r="I53" s="84"/>
      <c r="J53" s="84"/>
      <c r="K53" s="84"/>
      <c r="L53" s="84"/>
      <c r="M53" s="83"/>
      <c r="N53" s="84"/>
      <c r="O53" s="84"/>
      <c r="P53" s="84"/>
      <c r="Q53" s="84"/>
      <c r="R53" s="83"/>
      <c r="S53" s="84"/>
      <c r="T53" s="84"/>
      <c r="U53" s="84"/>
      <c r="V53" s="85"/>
      <c r="W53" s="86" t="str">
        <f aca="false">IF(COUNT(H53:L53)&lt;Instruções!$B$5,"",AVERAGE(H53:L53)/Instruções!$B$6-Instruções!$B$7)</f>
        <v/>
      </c>
      <c r="X53" s="87" t="str">
        <f aca="false">IF(COUNT(M53:Q53)&lt;Instruções!$B$5,"",AVERAGE(M53:Q53)/Instruções!$B$6-Instruções!$B$7)</f>
        <v/>
      </c>
      <c r="Y53" s="87" t="str">
        <f aca="false">IF(COUNT(R53:V53)&lt;Instruções!$B$5,"",AVERAGE(R53:V53)/Instruções!$B$6-Instruções!$B$7)</f>
        <v/>
      </c>
      <c r="Z53" s="88" t="str">
        <f aca="false">IF(OR(W53="",X53="",Y53=""),"",AVERAGE(W53:Y53))</f>
        <v/>
      </c>
      <c r="AA53" s="89" t="str">
        <f aca="false">IF(Z53="","",IF(Z53&gt;=Instruções!$B$8,"Manter",IF(Z53&gt;=Instruções!$B$9,"Revisar","Descartar")))</f>
        <v/>
      </c>
      <c r="AB53" s="90"/>
    </row>
    <row r="54" customFormat="false" ht="51.75" hidden="false" customHeight="true" outlineLevel="0" collapsed="false">
      <c r="A54" s="122" t="s">
        <v>383</v>
      </c>
      <c r="B54" s="92" t="s">
        <v>235</v>
      </c>
      <c r="C54" s="93" t="s">
        <v>381</v>
      </c>
      <c r="D54" s="94" t="s">
        <v>271</v>
      </c>
      <c r="E54" s="95" t="s">
        <v>376</v>
      </c>
      <c r="F54" s="96" t="s">
        <v>384</v>
      </c>
      <c r="H54" s="97"/>
      <c r="I54" s="98"/>
      <c r="J54" s="98"/>
      <c r="K54" s="98"/>
      <c r="L54" s="98"/>
      <c r="M54" s="97"/>
      <c r="N54" s="98"/>
      <c r="O54" s="98"/>
      <c r="P54" s="98"/>
      <c r="Q54" s="98"/>
      <c r="R54" s="97"/>
      <c r="S54" s="98"/>
      <c r="T54" s="98"/>
      <c r="U54" s="98"/>
      <c r="V54" s="99"/>
      <c r="W54" s="100" t="str">
        <f aca="false">IF(COUNT(H54:L54)&lt;Instruções!$B$5,"",AVERAGE(H54:L54)/Instruções!$B$6-Instruções!$B$7)</f>
        <v/>
      </c>
      <c r="X54" s="101" t="str">
        <f aca="false">IF(COUNT(M54:Q54)&lt;Instruções!$B$5,"",AVERAGE(M54:Q54)/Instruções!$B$6-Instruções!$B$7)</f>
        <v/>
      </c>
      <c r="Y54" s="101" t="str">
        <f aca="false">IF(COUNT(R54:V54)&lt;Instruções!$B$5,"",AVERAGE(R54:V54)/Instruções!$B$6-Instruções!$B$7)</f>
        <v/>
      </c>
      <c r="Z54" s="102" t="str">
        <f aca="false">IF(OR(W54="",X54="",Y54=""),"",AVERAGE(W54:Y54))</f>
        <v/>
      </c>
      <c r="AA54" s="103" t="str">
        <f aca="false">IF(Z54="","",IF(Z54&gt;=Instruções!$B$8,"Manter",IF(Z54&gt;=Instruções!$B$9,"Revisar","Descartar")))</f>
        <v/>
      </c>
      <c r="AB54" s="104"/>
    </row>
    <row r="55" customFormat="false" ht="51.75" hidden="false" customHeight="true" outlineLevel="0" collapsed="false">
      <c r="A55" s="121" t="s">
        <v>385</v>
      </c>
      <c r="B55" s="105" t="s">
        <v>235</v>
      </c>
      <c r="C55" s="106" t="s">
        <v>386</v>
      </c>
      <c r="D55" s="107" t="s">
        <v>118</v>
      </c>
      <c r="E55" s="108" t="s">
        <v>268</v>
      </c>
      <c r="F55" s="109" t="s">
        <v>387</v>
      </c>
      <c r="H55" s="83"/>
      <c r="I55" s="84"/>
      <c r="J55" s="84"/>
      <c r="K55" s="84"/>
      <c r="L55" s="84"/>
      <c r="M55" s="83"/>
      <c r="N55" s="84"/>
      <c r="O55" s="84"/>
      <c r="P55" s="84"/>
      <c r="Q55" s="84"/>
      <c r="R55" s="83"/>
      <c r="S55" s="84"/>
      <c r="T55" s="84"/>
      <c r="U55" s="84"/>
      <c r="V55" s="85"/>
      <c r="W55" s="86" t="str">
        <f aca="false">IF(COUNT(H55:L55)&lt;Instruções!$B$5,"",AVERAGE(H55:L55)/Instruções!$B$6-Instruções!$B$7)</f>
        <v/>
      </c>
      <c r="X55" s="87" t="str">
        <f aca="false">IF(COUNT(M55:Q55)&lt;Instruções!$B$5,"",AVERAGE(M55:Q55)/Instruções!$B$6-Instruções!$B$7)</f>
        <v/>
      </c>
      <c r="Y55" s="87" t="str">
        <f aca="false">IF(COUNT(R55:V55)&lt;Instruções!$B$5,"",AVERAGE(R55:V55)/Instruções!$B$6-Instruções!$B$7)</f>
        <v/>
      </c>
      <c r="Z55" s="88" t="str">
        <f aca="false">IF(OR(W55="",X55="",Y55=""),"",AVERAGE(W55:Y55))</f>
        <v/>
      </c>
      <c r="AA55" s="89" t="str">
        <f aca="false">IF(Z55="","",IF(Z55&gt;=Instruções!$B$8,"Manter",IF(Z55&gt;=Instruções!$B$9,"Revisar","Descartar")))</f>
        <v/>
      </c>
      <c r="AB55" s="110"/>
    </row>
    <row r="56" customFormat="false" ht="51.75" hidden="false" customHeight="true" outlineLevel="0" collapsed="false">
      <c r="A56" s="122" t="s">
        <v>388</v>
      </c>
      <c r="B56" s="111" t="s">
        <v>235</v>
      </c>
      <c r="C56" s="112" t="s">
        <v>386</v>
      </c>
      <c r="D56" s="113" t="s">
        <v>271</v>
      </c>
      <c r="E56" s="114" t="s">
        <v>275</v>
      </c>
      <c r="F56" s="115" t="s">
        <v>389</v>
      </c>
      <c r="H56" s="97"/>
      <c r="I56" s="98"/>
      <c r="J56" s="98"/>
      <c r="K56" s="98"/>
      <c r="L56" s="98"/>
      <c r="M56" s="97"/>
      <c r="N56" s="98"/>
      <c r="O56" s="98"/>
      <c r="P56" s="98"/>
      <c r="Q56" s="98"/>
      <c r="R56" s="97"/>
      <c r="S56" s="98"/>
      <c r="T56" s="98"/>
      <c r="U56" s="98"/>
      <c r="V56" s="99"/>
      <c r="W56" s="100" t="str">
        <f aca="false">IF(COUNT(H56:L56)&lt;Instruções!$B$5,"",AVERAGE(H56:L56)/Instruções!$B$6-Instruções!$B$7)</f>
        <v/>
      </c>
      <c r="X56" s="101" t="str">
        <f aca="false">IF(COUNT(M56:Q56)&lt;Instruções!$B$5,"",AVERAGE(M56:Q56)/Instruções!$B$6-Instruções!$B$7)</f>
        <v/>
      </c>
      <c r="Y56" s="101" t="str">
        <f aca="false">IF(COUNT(R56:V56)&lt;Instruções!$B$5,"",AVERAGE(R56:V56)/Instruções!$B$6-Instruções!$B$7)</f>
        <v/>
      </c>
      <c r="Z56" s="102" t="str">
        <f aca="false">IF(OR(W56="",X56="",Y56=""),"",AVERAGE(W56:Y56))</f>
        <v/>
      </c>
      <c r="AA56" s="103" t="str">
        <f aca="false">IF(Z56="","",IF(Z56&gt;=Instruções!$B$8,"Manter",IF(Z56&gt;=Instruções!$B$9,"Revisar","Descartar")))</f>
        <v/>
      </c>
      <c r="AB56" s="116"/>
    </row>
    <row r="57" customFormat="false" ht="51.75" hidden="false" customHeight="true" outlineLevel="0" collapsed="false">
      <c r="A57" s="122" t="s">
        <v>390</v>
      </c>
      <c r="B57" s="111" t="s">
        <v>235</v>
      </c>
      <c r="C57" s="112" t="s">
        <v>386</v>
      </c>
      <c r="D57" s="113" t="s">
        <v>271</v>
      </c>
      <c r="E57" s="114" t="s">
        <v>278</v>
      </c>
      <c r="F57" s="115" t="s">
        <v>391</v>
      </c>
      <c r="H57" s="97"/>
      <c r="I57" s="98"/>
      <c r="J57" s="98"/>
      <c r="K57" s="98"/>
      <c r="L57" s="98"/>
      <c r="M57" s="97"/>
      <c r="N57" s="98"/>
      <c r="O57" s="98"/>
      <c r="P57" s="98"/>
      <c r="Q57" s="98"/>
      <c r="R57" s="97"/>
      <c r="S57" s="98"/>
      <c r="T57" s="98"/>
      <c r="U57" s="98"/>
      <c r="V57" s="99"/>
      <c r="W57" s="100" t="str">
        <f aca="false">IF(COUNT(H57:L57)&lt;Instruções!$B$5,"",AVERAGE(H57:L57)/Instruções!$B$6-Instruções!$B$7)</f>
        <v/>
      </c>
      <c r="X57" s="101" t="str">
        <f aca="false">IF(COUNT(M57:Q57)&lt;Instruções!$B$5,"",AVERAGE(M57:Q57)/Instruções!$B$6-Instruções!$B$7)</f>
        <v/>
      </c>
      <c r="Y57" s="101" t="str">
        <f aca="false">IF(COUNT(R57:V57)&lt;Instruções!$B$5,"",AVERAGE(R57:V57)/Instruções!$B$6-Instruções!$B$7)</f>
        <v/>
      </c>
      <c r="Z57" s="102" t="str">
        <f aca="false">IF(OR(W57="",X57="",Y57=""),"",AVERAGE(W57:Y57))</f>
        <v/>
      </c>
      <c r="AA57" s="103" t="str">
        <f aca="false">IF(Z57="","",IF(Z57&gt;=Instruções!$B$8,"Manter",IF(Z57&gt;=Instruções!$B$9,"Revisar","Descartar")))</f>
        <v/>
      </c>
      <c r="AB57" s="116"/>
    </row>
    <row r="58" customFormat="false" ht="51.75" hidden="false" customHeight="true" outlineLevel="0" collapsed="false">
      <c r="A58" s="121" t="s">
        <v>392</v>
      </c>
      <c r="B58" s="78" t="s">
        <v>235</v>
      </c>
      <c r="C58" s="79" t="s">
        <v>393</v>
      </c>
      <c r="D58" s="80" t="s">
        <v>118</v>
      </c>
      <c r="E58" s="81" t="s">
        <v>268</v>
      </c>
      <c r="F58" s="82" t="s">
        <v>394</v>
      </c>
      <c r="H58" s="83"/>
      <c r="I58" s="84"/>
      <c r="J58" s="84"/>
      <c r="K58" s="84"/>
      <c r="L58" s="84"/>
      <c r="M58" s="83"/>
      <c r="N58" s="84"/>
      <c r="O58" s="84"/>
      <c r="P58" s="84"/>
      <c r="Q58" s="84"/>
      <c r="R58" s="83"/>
      <c r="S58" s="84"/>
      <c r="T58" s="84"/>
      <c r="U58" s="84"/>
      <c r="V58" s="85"/>
      <c r="W58" s="86" t="str">
        <f aca="false">IF(COUNT(H58:L58)&lt;Instruções!$B$5,"",AVERAGE(H58:L58)/Instruções!$B$6-Instruções!$B$7)</f>
        <v/>
      </c>
      <c r="X58" s="87" t="str">
        <f aca="false">IF(COUNT(M58:Q58)&lt;Instruções!$B$5,"",AVERAGE(M58:Q58)/Instruções!$B$6-Instruções!$B$7)</f>
        <v/>
      </c>
      <c r="Y58" s="87" t="str">
        <f aca="false">IF(COUNT(R58:V58)&lt;Instruções!$B$5,"",AVERAGE(R58:V58)/Instruções!$B$6-Instruções!$B$7)</f>
        <v/>
      </c>
      <c r="Z58" s="88" t="str">
        <f aca="false">IF(OR(W58="",X58="",Y58=""),"",AVERAGE(W58:Y58))</f>
        <v/>
      </c>
      <c r="AA58" s="89" t="str">
        <f aca="false">IF(Z58="","",IF(Z58&gt;=Instruções!$B$8,"Manter",IF(Z58&gt;=Instruções!$B$9,"Revisar","Descartar")))</f>
        <v/>
      </c>
      <c r="AB58" s="90"/>
    </row>
    <row r="59" customFormat="false" ht="51.75" hidden="false" customHeight="true" outlineLevel="0" collapsed="false">
      <c r="A59" s="122" t="s">
        <v>395</v>
      </c>
      <c r="B59" s="92" t="s">
        <v>235</v>
      </c>
      <c r="C59" s="93" t="s">
        <v>393</v>
      </c>
      <c r="D59" s="94" t="s">
        <v>271</v>
      </c>
      <c r="E59" s="95" t="s">
        <v>275</v>
      </c>
      <c r="F59" s="96" t="s">
        <v>396</v>
      </c>
      <c r="H59" s="97"/>
      <c r="I59" s="98"/>
      <c r="J59" s="98"/>
      <c r="K59" s="98"/>
      <c r="L59" s="98"/>
      <c r="M59" s="97"/>
      <c r="N59" s="98"/>
      <c r="O59" s="98"/>
      <c r="P59" s="98"/>
      <c r="Q59" s="98"/>
      <c r="R59" s="97"/>
      <c r="S59" s="98"/>
      <c r="T59" s="98"/>
      <c r="U59" s="98"/>
      <c r="V59" s="99"/>
      <c r="W59" s="100" t="str">
        <f aca="false">IF(COUNT(H59:L59)&lt;Instruções!$B$5,"",AVERAGE(H59:L59)/Instruções!$B$6-Instruções!$B$7)</f>
        <v/>
      </c>
      <c r="X59" s="101" t="str">
        <f aca="false">IF(COUNT(M59:Q59)&lt;Instruções!$B$5,"",AVERAGE(M59:Q59)/Instruções!$B$6-Instruções!$B$7)</f>
        <v/>
      </c>
      <c r="Y59" s="101" t="str">
        <f aca="false">IF(COUNT(R59:V59)&lt;Instruções!$B$5,"",AVERAGE(R59:V59)/Instruções!$B$6-Instruções!$B$7)</f>
        <v/>
      </c>
      <c r="Z59" s="102" t="str">
        <f aca="false">IF(OR(W59="",X59="",Y59=""),"",AVERAGE(W59:Y59))</f>
        <v/>
      </c>
      <c r="AA59" s="103" t="str">
        <f aca="false">IF(Z59="","",IF(Z59&gt;=Instruções!$B$8,"Manter",IF(Z59&gt;=Instruções!$B$9,"Revisar","Descartar")))</f>
        <v/>
      </c>
      <c r="AB59" s="104"/>
    </row>
    <row r="60" customFormat="false" ht="51.75" hidden="false" customHeight="true" outlineLevel="0" collapsed="false">
      <c r="A60" s="122" t="s">
        <v>397</v>
      </c>
      <c r="B60" s="92" t="s">
        <v>235</v>
      </c>
      <c r="C60" s="93" t="s">
        <v>393</v>
      </c>
      <c r="D60" s="94" t="s">
        <v>271</v>
      </c>
      <c r="E60" s="95" t="s">
        <v>278</v>
      </c>
      <c r="F60" s="96" t="s">
        <v>398</v>
      </c>
      <c r="H60" s="97"/>
      <c r="I60" s="98"/>
      <c r="J60" s="98"/>
      <c r="K60" s="98"/>
      <c r="L60" s="98"/>
      <c r="M60" s="97"/>
      <c r="N60" s="98"/>
      <c r="O60" s="98"/>
      <c r="P60" s="98"/>
      <c r="Q60" s="98"/>
      <c r="R60" s="97"/>
      <c r="S60" s="98"/>
      <c r="T60" s="98"/>
      <c r="U60" s="98"/>
      <c r="V60" s="99"/>
      <c r="W60" s="100" t="str">
        <f aca="false">IF(COUNT(H60:L60)&lt;Instruções!$B$5,"",AVERAGE(H60:L60)/Instruções!$B$6-Instruções!$B$7)</f>
        <v/>
      </c>
      <c r="X60" s="101" t="str">
        <f aca="false">IF(COUNT(M60:Q60)&lt;Instruções!$B$5,"",AVERAGE(M60:Q60)/Instruções!$B$6-Instruções!$B$7)</f>
        <v/>
      </c>
      <c r="Y60" s="101" t="str">
        <f aca="false">IF(COUNT(R60:V60)&lt;Instruções!$B$5,"",AVERAGE(R60:V60)/Instruções!$B$6-Instruções!$B$7)</f>
        <v/>
      </c>
      <c r="Z60" s="102" t="str">
        <f aca="false">IF(OR(W60="",X60="",Y60=""),"",AVERAGE(W60:Y60))</f>
        <v/>
      </c>
      <c r="AA60" s="103" t="str">
        <f aca="false">IF(Z60="","",IF(Z60&gt;=Instruções!$B$8,"Manter",IF(Z60&gt;=Instruções!$B$9,"Revisar","Descartar")))</f>
        <v/>
      </c>
      <c r="AB60" s="104"/>
    </row>
    <row r="61" customFormat="false" ht="37.5" hidden="false" customHeight="true" outlineLevel="0" collapsed="false">
      <c r="A61" s="121" t="s">
        <v>399</v>
      </c>
      <c r="B61" s="105" t="s">
        <v>235</v>
      </c>
      <c r="C61" s="106" t="s">
        <v>325</v>
      </c>
      <c r="D61" s="107" t="s">
        <v>326</v>
      </c>
      <c r="E61" s="108" t="s">
        <v>327</v>
      </c>
      <c r="F61" s="109" t="s">
        <v>400</v>
      </c>
      <c r="H61" s="83"/>
      <c r="I61" s="84"/>
      <c r="J61" s="84"/>
      <c r="K61" s="84"/>
      <c r="L61" s="84"/>
      <c r="M61" s="83"/>
      <c r="N61" s="84"/>
      <c r="O61" s="84"/>
      <c r="P61" s="84"/>
      <c r="Q61" s="84"/>
      <c r="R61" s="83"/>
      <c r="S61" s="84"/>
      <c r="T61" s="84"/>
      <c r="U61" s="84"/>
      <c r="V61" s="85"/>
      <c r="W61" s="86" t="str">
        <f aca="false">IF(COUNT(H61:L61)&lt;Instruções!$B$5,"",AVERAGE(H61:L61)/Instruções!$B$6-Instruções!$B$7)</f>
        <v/>
      </c>
      <c r="X61" s="87" t="str">
        <f aca="false">IF(COUNT(M61:Q61)&lt;Instruções!$B$5,"",AVERAGE(M61:Q61)/Instruções!$B$6-Instruções!$B$7)</f>
        <v/>
      </c>
      <c r="Y61" s="87" t="str">
        <f aca="false">IF(COUNT(R61:V61)&lt;Instruções!$B$5,"",AVERAGE(R61:V61)/Instruções!$B$6-Instruções!$B$7)</f>
        <v/>
      </c>
      <c r="Z61" s="88" t="str">
        <f aca="false">IF(OR(W61="",X61="",Y61=""),"",AVERAGE(W61:Y61))</f>
        <v/>
      </c>
      <c r="AA61" s="89" t="str">
        <f aca="false">IF(Z61="","",IF(Z61&gt;=Instruções!$B$8,"Manter",IF(Z61&gt;=Instruções!$B$9,"Revisar","Descartar")))</f>
        <v/>
      </c>
      <c r="AB61" s="110"/>
    </row>
    <row r="62" customFormat="false" ht="66" hidden="false" customHeight="true" outlineLevel="0" collapsed="false">
      <c r="A62" s="121" t="s">
        <v>401</v>
      </c>
      <c r="B62" s="78" t="s">
        <v>235</v>
      </c>
      <c r="C62" s="79" t="s">
        <v>325</v>
      </c>
      <c r="D62" s="80" t="s">
        <v>326</v>
      </c>
      <c r="E62" s="81" t="s">
        <v>327</v>
      </c>
      <c r="F62" s="82" t="s">
        <v>402</v>
      </c>
      <c r="H62" s="83"/>
      <c r="I62" s="84"/>
      <c r="J62" s="84"/>
      <c r="K62" s="84"/>
      <c r="L62" s="84"/>
      <c r="M62" s="83"/>
      <c r="N62" s="84"/>
      <c r="O62" s="84"/>
      <c r="P62" s="84"/>
      <c r="Q62" s="84"/>
      <c r="R62" s="83"/>
      <c r="S62" s="84"/>
      <c r="T62" s="84"/>
      <c r="U62" s="84"/>
      <c r="V62" s="85"/>
      <c r="W62" s="86" t="str">
        <f aca="false">IF(COUNT(H62:L62)&lt;Instruções!$B$5,"",AVERAGE(H62:L62)/Instruções!$B$6-Instruções!$B$7)</f>
        <v/>
      </c>
      <c r="X62" s="87" t="str">
        <f aca="false">IF(COUNT(M62:Q62)&lt;Instruções!$B$5,"",AVERAGE(M62:Q62)/Instruções!$B$6-Instruções!$B$7)</f>
        <v/>
      </c>
      <c r="Y62" s="87" t="str">
        <f aca="false">IF(COUNT(R62:V62)&lt;Instruções!$B$5,"",AVERAGE(R62:V62)/Instruções!$B$6-Instruções!$B$7)</f>
        <v/>
      </c>
      <c r="Z62" s="88" t="str">
        <f aca="false">IF(OR(W62="",X62="",Y62=""),"",AVERAGE(W62:Y62))</f>
        <v/>
      </c>
      <c r="AA62" s="89" t="str">
        <f aca="false">IF(Z62="","",IF(Z62&gt;=Instruções!$B$8,"Manter",IF(Z62&gt;=Instruções!$B$9,"Revisar","Descartar")))</f>
        <v/>
      </c>
      <c r="AB62" s="90"/>
    </row>
    <row r="63" customFormat="false" ht="37.5" hidden="false" customHeight="true" outlineLevel="0" collapsed="false">
      <c r="A63" s="121" t="s">
        <v>403</v>
      </c>
      <c r="B63" s="105" t="s">
        <v>235</v>
      </c>
      <c r="C63" s="106" t="s">
        <v>325</v>
      </c>
      <c r="D63" s="107" t="s">
        <v>326</v>
      </c>
      <c r="E63" s="108" t="s">
        <v>327</v>
      </c>
      <c r="F63" s="109" t="s">
        <v>404</v>
      </c>
      <c r="H63" s="83"/>
      <c r="I63" s="84"/>
      <c r="J63" s="84"/>
      <c r="K63" s="84"/>
      <c r="L63" s="84"/>
      <c r="M63" s="83"/>
      <c r="N63" s="84"/>
      <c r="O63" s="84"/>
      <c r="P63" s="84"/>
      <c r="Q63" s="84"/>
      <c r="R63" s="83"/>
      <c r="S63" s="84"/>
      <c r="T63" s="84"/>
      <c r="U63" s="84"/>
      <c r="V63" s="85"/>
      <c r="W63" s="86" t="str">
        <f aca="false">IF(COUNT(H63:L63)&lt;Instruções!$B$5,"",AVERAGE(H63:L63)/Instruções!$B$6-Instruções!$B$7)</f>
        <v/>
      </c>
      <c r="X63" s="87" t="str">
        <f aca="false">IF(COUNT(M63:Q63)&lt;Instruções!$B$5,"",AVERAGE(M63:Q63)/Instruções!$B$6-Instruções!$B$7)</f>
        <v/>
      </c>
      <c r="Y63" s="87" t="str">
        <f aca="false">IF(COUNT(R63:V63)&lt;Instruções!$B$5,"",AVERAGE(R63:V63)/Instruções!$B$6-Instruções!$B$7)</f>
        <v/>
      </c>
      <c r="Z63" s="88" t="str">
        <f aca="false">IF(OR(W63="",X63="",Y63=""),"",AVERAGE(W63:Y63))</f>
        <v/>
      </c>
      <c r="AA63" s="89" t="str">
        <f aca="false">IF(Z63="","",IF(Z63&gt;=Instruções!$B$8,"Manter",IF(Z63&gt;=Instruções!$B$9,"Revisar","Descartar")))</f>
        <v/>
      </c>
      <c r="AB63" s="110"/>
    </row>
    <row r="64" customFormat="false" ht="51.75" hidden="false" customHeight="true" outlineLevel="0" collapsed="false">
      <c r="A64" s="121" t="s">
        <v>405</v>
      </c>
      <c r="B64" s="78" t="s">
        <v>235</v>
      </c>
      <c r="C64" s="79" t="s">
        <v>325</v>
      </c>
      <c r="D64" s="80" t="s">
        <v>326</v>
      </c>
      <c r="E64" s="81" t="s">
        <v>272</v>
      </c>
      <c r="F64" s="82" t="s">
        <v>406</v>
      </c>
      <c r="H64" s="83"/>
      <c r="I64" s="84"/>
      <c r="J64" s="84"/>
      <c r="K64" s="84"/>
      <c r="L64" s="84"/>
      <c r="M64" s="83"/>
      <c r="N64" s="84"/>
      <c r="O64" s="84"/>
      <c r="P64" s="84"/>
      <c r="Q64" s="84"/>
      <c r="R64" s="83"/>
      <c r="S64" s="84"/>
      <c r="T64" s="84"/>
      <c r="U64" s="84"/>
      <c r="V64" s="85"/>
      <c r="W64" s="86" t="str">
        <f aca="false">IF(COUNT(H64:L64)&lt;Instruções!$B$5,"",AVERAGE(H64:L64)/Instruções!$B$6-Instruções!$B$7)</f>
        <v/>
      </c>
      <c r="X64" s="87" t="str">
        <f aca="false">IF(COUNT(M64:Q64)&lt;Instruções!$B$5,"",AVERAGE(M64:Q64)/Instruções!$B$6-Instruções!$B$7)</f>
        <v/>
      </c>
      <c r="Y64" s="87" t="str">
        <f aca="false">IF(COUNT(R64:V64)&lt;Instruções!$B$5,"",AVERAGE(R64:V64)/Instruções!$B$6-Instruções!$B$7)</f>
        <v/>
      </c>
      <c r="Z64" s="88" t="str">
        <f aca="false">IF(OR(W64="",X64="",Y64=""),"",AVERAGE(W64:Y64))</f>
        <v/>
      </c>
      <c r="AA64" s="89" t="str">
        <f aca="false">IF(Z64="","",IF(Z64&gt;=Instruções!$B$8,"Manter",IF(Z64&gt;=Instruções!$B$9,"Revisar","Descartar")))</f>
        <v/>
      </c>
      <c r="AB64" s="90"/>
    </row>
    <row r="65" customFormat="false" ht="51.75" hidden="false" customHeight="true" outlineLevel="0" collapsed="false">
      <c r="A65" s="121" t="s">
        <v>407</v>
      </c>
      <c r="B65" s="105" t="s">
        <v>235</v>
      </c>
      <c r="C65" s="106" t="s">
        <v>325</v>
      </c>
      <c r="D65" s="107" t="s">
        <v>326</v>
      </c>
      <c r="E65" s="108" t="s">
        <v>272</v>
      </c>
      <c r="F65" s="109" t="s">
        <v>408</v>
      </c>
      <c r="H65" s="83"/>
      <c r="I65" s="84"/>
      <c r="J65" s="84"/>
      <c r="K65" s="84"/>
      <c r="L65" s="84"/>
      <c r="M65" s="83"/>
      <c r="N65" s="84"/>
      <c r="O65" s="84"/>
      <c r="P65" s="84"/>
      <c r="Q65" s="84"/>
      <c r="R65" s="83"/>
      <c r="S65" s="84"/>
      <c r="T65" s="84"/>
      <c r="U65" s="84"/>
      <c r="V65" s="85"/>
      <c r="W65" s="86" t="str">
        <f aca="false">IF(COUNT(H65:L65)&lt;Instruções!$B$5,"",AVERAGE(H65:L65)/Instruções!$B$6-Instruções!$B$7)</f>
        <v/>
      </c>
      <c r="X65" s="87" t="str">
        <f aca="false">IF(COUNT(M65:Q65)&lt;Instruções!$B$5,"",AVERAGE(M65:Q65)/Instruções!$B$6-Instruções!$B$7)</f>
        <v/>
      </c>
      <c r="Y65" s="87" t="str">
        <f aca="false">IF(COUNT(R65:V65)&lt;Instruções!$B$5,"",AVERAGE(R65:V65)/Instruções!$B$6-Instruções!$B$7)</f>
        <v/>
      </c>
      <c r="Z65" s="88" t="str">
        <f aca="false">IF(OR(W65="",X65="",Y65=""),"",AVERAGE(W65:Y65))</f>
        <v/>
      </c>
      <c r="AA65" s="89" t="str">
        <f aca="false">IF(Z65="","",IF(Z65&gt;=Instruções!$B$8,"Manter",IF(Z65&gt;=Instruções!$B$9,"Revisar","Descartar")))</f>
        <v/>
      </c>
      <c r="AB65" s="110"/>
    </row>
    <row r="66" customFormat="false" ht="51.75" hidden="false" customHeight="true" outlineLevel="0" collapsed="false">
      <c r="A66" s="121" t="s">
        <v>409</v>
      </c>
      <c r="B66" s="78" t="s">
        <v>235</v>
      </c>
      <c r="C66" s="79" t="s">
        <v>325</v>
      </c>
      <c r="D66" s="80" t="s">
        <v>326</v>
      </c>
      <c r="E66" s="81" t="s">
        <v>272</v>
      </c>
      <c r="F66" s="82" t="s">
        <v>410</v>
      </c>
      <c r="H66" s="83"/>
      <c r="I66" s="84"/>
      <c r="J66" s="84"/>
      <c r="K66" s="84"/>
      <c r="L66" s="84"/>
      <c r="M66" s="83"/>
      <c r="N66" s="84"/>
      <c r="O66" s="84"/>
      <c r="P66" s="84"/>
      <c r="Q66" s="84"/>
      <c r="R66" s="83"/>
      <c r="S66" s="84"/>
      <c r="T66" s="84"/>
      <c r="U66" s="84"/>
      <c r="V66" s="85"/>
      <c r="W66" s="86" t="str">
        <f aca="false">IF(COUNT(H66:L66)&lt;Instruções!$B$5,"",AVERAGE(H66:L66)/Instruções!$B$6-Instruções!$B$7)</f>
        <v/>
      </c>
      <c r="X66" s="87" t="str">
        <f aca="false">IF(COUNT(M66:Q66)&lt;Instruções!$B$5,"",AVERAGE(M66:Q66)/Instruções!$B$6-Instruções!$B$7)</f>
        <v/>
      </c>
      <c r="Y66" s="87" t="str">
        <f aca="false">IF(COUNT(R66:V66)&lt;Instruções!$B$5,"",AVERAGE(R66:V66)/Instruções!$B$6-Instruções!$B$7)</f>
        <v/>
      </c>
      <c r="Z66" s="88" t="str">
        <f aca="false">IF(OR(W66="",X66="",Y66=""),"",AVERAGE(W66:Y66))</f>
        <v/>
      </c>
      <c r="AA66" s="89" t="str">
        <f aca="false">IF(Z66="","",IF(Z66&gt;=Instruções!$B$8,"Manter",IF(Z66&gt;=Instruções!$B$9,"Revisar","Descartar")))</f>
        <v/>
      </c>
      <c r="AB66" s="90"/>
    </row>
    <row r="67" customFormat="false" ht="51.75" hidden="false" customHeight="true" outlineLevel="0" collapsed="false">
      <c r="A67" s="121" t="s">
        <v>411</v>
      </c>
      <c r="B67" s="105" t="s">
        <v>235</v>
      </c>
      <c r="C67" s="106" t="s">
        <v>325</v>
      </c>
      <c r="D67" s="107" t="s">
        <v>326</v>
      </c>
      <c r="E67" s="108" t="s">
        <v>272</v>
      </c>
      <c r="F67" s="109" t="s">
        <v>412</v>
      </c>
      <c r="H67" s="83"/>
      <c r="I67" s="84"/>
      <c r="J67" s="84"/>
      <c r="K67" s="84"/>
      <c r="L67" s="84"/>
      <c r="M67" s="83"/>
      <c r="N67" s="84"/>
      <c r="O67" s="84"/>
      <c r="P67" s="84"/>
      <c r="Q67" s="84"/>
      <c r="R67" s="83"/>
      <c r="S67" s="84"/>
      <c r="T67" s="84"/>
      <c r="U67" s="84"/>
      <c r="V67" s="85"/>
      <c r="W67" s="86" t="str">
        <f aca="false">IF(COUNT(H67:L67)&lt;Instruções!$B$5,"",AVERAGE(H67:L67)/Instruções!$B$6-Instruções!$B$7)</f>
        <v/>
      </c>
      <c r="X67" s="87" t="str">
        <f aca="false">IF(COUNT(M67:Q67)&lt;Instruções!$B$5,"",AVERAGE(M67:Q67)/Instruções!$B$6-Instruções!$B$7)</f>
        <v/>
      </c>
      <c r="Y67" s="87" t="str">
        <f aca="false">IF(COUNT(R67:V67)&lt;Instruções!$B$5,"",AVERAGE(R67:V67)/Instruções!$B$6-Instruções!$B$7)</f>
        <v/>
      </c>
      <c r="Z67" s="88" t="str">
        <f aca="false">IF(OR(W67="",X67="",Y67=""),"",AVERAGE(W67:Y67))</f>
        <v/>
      </c>
      <c r="AA67" s="89" t="str">
        <f aca="false">IF(Z67="","",IF(Z67&gt;=Instruções!$B$8,"Manter",IF(Z67&gt;=Instruções!$B$9,"Revisar","Descartar")))</f>
        <v/>
      </c>
      <c r="AB67" s="110"/>
    </row>
    <row r="68" customFormat="false" ht="51.75" hidden="false" customHeight="true" outlineLevel="0" collapsed="false">
      <c r="A68" s="121" t="s">
        <v>413</v>
      </c>
      <c r="B68" s="78" t="s">
        <v>235</v>
      </c>
      <c r="C68" s="79" t="s">
        <v>325</v>
      </c>
      <c r="D68" s="80" t="s">
        <v>326</v>
      </c>
      <c r="E68" s="81" t="s">
        <v>272</v>
      </c>
      <c r="F68" s="82" t="s">
        <v>414</v>
      </c>
      <c r="H68" s="83"/>
      <c r="I68" s="84"/>
      <c r="J68" s="84"/>
      <c r="K68" s="84"/>
      <c r="L68" s="84"/>
      <c r="M68" s="83"/>
      <c r="N68" s="84"/>
      <c r="O68" s="84"/>
      <c r="P68" s="84"/>
      <c r="Q68" s="84"/>
      <c r="R68" s="83"/>
      <c r="S68" s="84"/>
      <c r="T68" s="84"/>
      <c r="U68" s="84"/>
      <c r="V68" s="85"/>
      <c r="W68" s="86" t="str">
        <f aca="false">IF(COUNT(H68:L68)&lt;Instruções!$B$5,"",AVERAGE(H68:L68)/Instruções!$B$6-Instruções!$B$7)</f>
        <v/>
      </c>
      <c r="X68" s="87" t="str">
        <f aca="false">IF(COUNT(M68:Q68)&lt;Instruções!$B$5,"",AVERAGE(M68:Q68)/Instruções!$B$6-Instruções!$B$7)</f>
        <v/>
      </c>
      <c r="Y68" s="87" t="str">
        <f aca="false">IF(COUNT(R68:V68)&lt;Instruções!$B$5,"",AVERAGE(R68:V68)/Instruções!$B$6-Instruções!$B$7)</f>
        <v/>
      </c>
      <c r="Z68" s="88" t="str">
        <f aca="false">IF(OR(W68="",X68="",Y68=""),"",AVERAGE(W68:Y68))</f>
        <v/>
      </c>
      <c r="AA68" s="89" t="str">
        <f aca="false">IF(Z68="","",IF(Z68&gt;=Instruções!$B$8,"Manter",IF(Z68&gt;=Instruções!$B$9,"Revisar","Descartar")))</f>
        <v/>
      </c>
      <c r="AB68" s="90"/>
    </row>
    <row r="69" customFormat="false" ht="51.75" hidden="false" customHeight="true" outlineLevel="0" collapsed="false">
      <c r="A69" s="121" t="s">
        <v>415</v>
      </c>
      <c r="B69" s="105" t="s">
        <v>235</v>
      </c>
      <c r="C69" s="106" t="s">
        <v>325</v>
      </c>
      <c r="D69" s="107" t="s">
        <v>326</v>
      </c>
      <c r="E69" s="108" t="s">
        <v>272</v>
      </c>
      <c r="F69" s="109" t="s">
        <v>416</v>
      </c>
      <c r="H69" s="83"/>
      <c r="I69" s="84"/>
      <c r="J69" s="84"/>
      <c r="K69" s="84"/>
      <c r="L69" s="84"/>
      <c r="M69" s="83"/>
      <c r="N69" s="84"/>
      <c r="O69" s="84"/>
      <c r="P69" s="84"/>
      <c r="Q69" s="84"/>
      <c r="R69" s="83"/>
      <c r="S69" s="84"/>
      <c r="T69" s="84"/>
      <c r="U69" s="84"/>
      <c r="V69" s="85"/>
      <c r="W69" s="86" t="str">
        <f aca="false">IF(COUNT(H69:L69)&lt;Instruções!$B$5,"",AVERAGE(H69:L69)/Instruções!$B$6-Instruções!$B$7)</f>
        <v/>
      </c>
      <c r="X69" s="87" t="str">
        <f aca="false">IF(COUNT(M69:Q69)&lt;Instruções!$B$5,"",AVERAGE(M69:Q69)/Instruções!$B$6-Instruções!$B$7)</f>
        <v/>
      </c>
      <c r="Y69" s="87" t="str">
        <f aca="false">IF(COUNT(R69:V69)&lt;Instruções!$B$5,"",AVERAGE(R69:V69)/Instruções!$B$6-Instruções!$B$7)</f>
        <v/>
      </c>
      <c r="Z69" s="88" t="str">
        <f aca="false">IF(OR(W69="",X69="",Y69=""),"",AVERAGE(W69:Y69))</f>
        <v/>
      </c>
      <c r="AA69" s="89" t="str">
        <f aca="false">IF(Z69="","",IF(Z69&gt;=Instruções!$B$8,"Manter",IF(Z69&gt;=Instruções!$B$9,"Revisar","Descartar")))</f>
        <v/>
      </c>
      <c r="AB69" s="110"/>
    </row>
    <row r="70" customFormat="false" ht="51.75" hidden="false" customHeight="true" outlineLevel="0" collapsed="false">
      <c r="A70" s="121" t="s">
        <v>417</v>
      </c>
      <c r="B70" s="78" t="s">
        <v>235</v>
      </c>
      <c r="C70" s="79" t="s">
        <v>325</v>
      </c>
      <c r="D70" s="80" t="s">
        <v>326</v>
      </c>
      <c r="E70" s="81" t="s">
        <v>272</v>
      </c>
      <c r="F70" s="82" t="s">
        <v>418</v>
      </c>
      <c r="H70" s="83"/>
      <c r="I70" s="84"/>
      <c r="J70" s="84"/>
      <c r="K70" s="84"/>
      <c r="L70" s="84"/>
      <c r="M70" s="83"/>
      <c r="N70" s="84"/>
      <c r="O70" s="84"/>
      <c r="P70" s="84"/>
      <c r="Q70" s="84"/>
      <c r="R70" s="83"/>
      <c r="S70" s="84"/>
      <c r="T70" s="84"/>
      <c r="U70" s="84"/>
      <c r="V70" s="85"/>
      <c r="W70" s="86" t="str">
        <f aca="false">IF(COUNT(H70:L70)&lt;Instruções!$B$5,"",AVERAGE(H70:L70)/Instruções!$B$6-Instruções!$B$7)</f>
        <v/>
      </c>
      <c r="X70" s="87" t="str">
        <f aca="false">IF(COUNT(M70:Q70)&lt;Instruções!$B$5,"",AVERAGE(M70:Q70)/Instruções!$B$6-Instruções!$B$7)</f>
        <v/>
      </c>
      <c r="Y70" s="87" t="str">
        <f aca="false">IF(COUNT(R70:V70)&lt;Instruções!$B$5,"",AVERAGE(R70:V70)/Instruções!$B$6-Instruções!$B$7)</f>
        <v/>
      </c>
      <c r="Z70" s="88" t="str">
        <f aca="false">IF(OR(W70="",X70="",Y70=""),"",AVERAGE(W70:Y70))</f>
        <v/>
      </c>
      <c r="AA70" s="89" t="str">
        <f aca="false">IF(Z70="","",IF(Z70&gt;=Instruções!$B$8,"Manter",IF(Z70&gt;=Instruções!$B$9,"Revisar","Descartar")))</f>
        <v/>
      </c>
      <c r="AB70" s="90"/>
    </row>
    <row r="71" customFormat="false" ht="51.75" hidden="false" customHeight="true" outlineLevel="0" collapsed="false">
      <c r="A71" s="121" t="s">
        <v>419</v>
      </c>
      <c r="B71" s="105" t="s">
        <v>235</v>
      </c>
      <c r="C71" s="106" t="s">
        <v>325</v>
      </c>
      <c r="D71" s="107" t="s">
        <v>326</v>
      </c>
      <c r="E71" s="108" t="s">
        <v>272</v>
      </c>
      <c r="F71" s="109" t="s">
        <v>420</v>
      </c>
      <c r="H71" s="83"/>
      <c r="I71" s="84"/>
      <c r="J71" s="84"/>
      <c r="K71" s="84"/>
      <c r="L71" s="84"/>
      <c r="M71" s="83"/>
      <c r="N71" s="84"/>
      <c r="O71" s="84"/>
      <c r="P71" s="84"/>
      <c r="Q71" s="84"/>
      <c r="R71" s="83"/>
      <c r="S71" s="84"/>
      <c r="T71" s="84"/>
      <c r="U71" s="84"/>
      <c r="V71" s="85"/>
      <c r="W71" s="86" t="str">
        <f aca="false">IF(COUNT(H71:L71)&lt;Instruções!$B$5,"",AVERAGE(H71:L71)/Instruções!$B$6-Instruções!$B$7)</f>
        <v/>
      </c>
      <c r="X71" s="87" t="str">
        <f aca="false">IF(COUNT(M71:Q71)&lt;Instruções!$B$5,"",AVERAGE(M71:Q71)/Instruções!$B$6-Instruções!$B$7)</f>
        <v/>
      </c>
      <c r="Y71" s="87" t="str">
        <f aca="false">IF(COUNT(R71:V71)&lt;Instruções!$B$5,"",AVERAGE(R71:V71)/Instruções!$B$6-Instruções!$B$7)</f>
        <v/>
      </c>
      <c r="Z71" s="88" t="str">
        <f aca="false">IF(OR(W71="",X71="",Y71=""),"",AVERAGE(W71:Y71))</f>
        <v/>
      </c>
      <c r="AA71" s="89" t="str">
        <f aca="false">IF(Z71="","",IF(Z71&gt;=Instruções!$B$8,"Manter",IF(Z71&gt;=Instruções!$B$9,"Revisar","Descartar")))</f>
        <v/>
      </c>
      <c r="AB71" s="110"/>
    </row>
    <row r="72" customFormat="false" ht="51.75" hidden="false" customHeight="true" outlineLevel="0" collapsed="false">
      <c r="A72" s="121" t="s">
        <v>421</v>
      </c>
      <c r="B72" s="78" t="s">
        <v>235</v>
      </c>
      <c r="C72" s="79" t="s">
        <v>325</v>
      </c>
      <c r="D72" s="80" t="s">
        <v>326</v>
      </c>
      <c r="E72" s="81" t="s">
        <v>272</v>
      </c>
      <c r="F72" s="82" t="s">
        <v>422</v>
      </c>
      <c r="H72" s="83"/>
      <c r="I72" s="84"/>
      <c r="J72" s="84"/>
      <c r="K72" s="84"/>
      <c r="L72" s="84"/>
      <c r="M72" s="83"/>
      <c r="N72" s="84"/>
      <c r="O72" s="84"/>
      <c r="P72" s="84"/>
      <c r="Q72" s="84"/>
      <c r="R72" s="83"/>
      <c r="S72" s="84"/>
      <c r="T72" s="84"/>
      <c r="U72" s="84"/>
      <c r="V72" s="85"/>
      <c r="W72" s="86" t="str">
        <f aca="false">IF(COUNT(H72:L72)&lt;Instruções!$B$5,"",AVERAGE(H72:L72)/Instruções!$B$6-Instruções!$B$7)</f>
        <v/>
      </c>
      <c r="X72" s="87" t="str">
        <f aca="false">IF(COUNT(M72:Q72)&lt;Instruções!$B$5,"",AVERAGE(M72:Q72)/Instruções!$B$6-Instruções!$B$7)</f>
        <v/>
      </c>
      <c r="Y72" s="87" t="str">
        <f aca="false">IF(COUNT(R72:V72)&lt;Instruções!$B$5,"",AVERAGE(R72:V72)/Instruções!$B$6-Instruções!$B$7)</f>
        <v/>
      </c>
      <c r="Z72" s="88" t="str">
        <f aca="false">IF(OR(W72="",X72="",Y72=""),"",AVERAGE(W72:Y72))</f>
        <v/>
      </c>
      <c r="AA72" s="89" t="str">
        <f aca="false">IF(Z72="","",IF(Z72&gt;=Instruções!$B$8,"Manter",IF(Z72&gt;=Instruções!$B$9,"Revisar","Descartar")))</f>
        <v/>
      </c>
      <c r="AB72" s="90"/>
    </row>
    <row r="73" customFormat="false" ht="37.5" hidden="false" customHeight="true" outlineLevel="0" collapsed="false">
      <c r="A73" s="121" t="s">
        <v>423</v>
      </c>
      <c r="B73" s="105" t="s">
        <v>235</v>
      </c>
      <c r="C73" s="106" t="s">
        <v>325</v>
      </c>
      <c r="D73" s="107" t="s">
        <v>326</v>
      </c>
      <c r="E73" s="108" t="s">
        <v>275</v>
      </c>
      <c r="F73" s="109" t="s">
        <v>424</v>
      </c>
      <c r="H73" s="83"/>
      <c r="I73" s="84"/>
      <c r="J73" s="84"/>
      <c r="K73" s="84"/>
      <c r="L73" s="84"/>
      <c r="M73" s="83"/>
      <c r="N73" s="84"/>
      <c r="O73" s="84"/>
      <c r="P73" s="84"/>
      <c r="Q73" s="84"/>
      <c r="R73" s="83"/>
      <c r="S73" s="84"/>
      <c r="T73" s="84"/>
      <c r="U73" s="84"/>
      <c r="V73" s="85"/>
      <c r="W73" s="86" t="str">
        <f aca="false">IF(COUNT(H73:L73)&lt;Instruções!$B$5,"",AVERAGE(H73:L73)/Instruções!$B$6-Instruções!$B$7)</f>
        <v/>
      </c>
      <c r="X73" s="87" t="str">
        <f aca="false">IF(COUNT(M73:Q73)&lt;Instruções!$B$5,"",AVERAGE(M73:Q73)/Instruções!$B$6-Instruções!$B$7)</f>
        <v/>
      </c>
      <c r="Y73" s="87" t="str">
        <f aca="false">IF(COUNT(R73:V73)&lt;Instruções!$B$5,"",AVERAGE(R73:V73)/Instruções!$B$6-Instruções!$B$7)</f>
        <v/>
      </c>
      <c r="Z73" s="88" t="str">
        <f aca="false">IF(OR(W73="",X73="",Y73=""),"",AVERAGE(W73:Y73))</f>
        <v/>
      </c>
      <c r="AA73" s="89" t="str">
        <f aca="false">IF(Z73="","",IF(Z73&gt;=Instruções!$B$8,"Manter",IF(Z73&gt;=Instruções!$B$9,"Revisar","Descartar")))</f>
        <v/>
      </c>
      <c r="AB73" s="110"/>
    </row>
    <row r="74" customFormat="false" ht="37.5" hidden="false" customHeight="true" outlineLevel="0" collapsed="false">
      <c r="A74" s="121" t="s">
        <v>425</v>
      </c>
      <c r="B74" s="78" t="s">
        <v>235</v>
      </c>
      <c r="C74" s="79" t="s">
        <v>325</v>
      </c>
      <c r="D74" s="80" t="s">
        <v>326</v>
      </c>
      <c r="E74" s="81" t="s">
        <v>275</v>
      </c>
      <c r="F74" s="82" t="s">
        <v>426</v>
      </c>
      <c r="H74" s="83"/>
      <c r="I74" s="84"/>
      <c r="J74" s="84"/>
      <c r="K74" s="84"/>
      <c r="L74" s="84"/>
      <c r="M74" s="83"/>
      <c r="N74" s="84"/>
      <c r="O74" s="84"/>
      <c r="P74" s="84"/>
      <c r="Q74" s="84"/>
      <c r="R74" s="83"/>
      <c r="S74" s="84"/>
      <c r="T74" s="84"/>
      <c r="U74" s="84"/>
      <c r="V74" s="85"/>
      <c r="W74" s="86" t="str">
        <f aca="false">IF(COUNT(H74:L74)&lt;Instruções!$B$5,"",AVERAGE(H74:L74)/Instruções!$B$6-Instruções!$B$7)</f>
        <v/>
      </c>
      <c r="X74" s="87" t="str">
        <f aca="false">IF(COUNT(M74:Q74)&lt;Instruções!$B$5,"",AVERAGE(M74:Q74)/Instruções!$B$6-Instruções!$B$7)</f>
        <v/>
      </c>
      <c r="Y74" s="87" t="str">
        <f aca="false">IF(COUNT(R74:V74)&lt;Instruções!$B$5,"",AVERAGE(R74:V74)/Instruções!$B$6-Instruções!$B$7)</f>
        <v/>
      </c>
      <c r="Z74" s="88" t="str">
        <f aca="false">IF(OR(W74="",X74="",Y74=""),"",AVERAGE(W74:Y74))</f>
        <v/>
      </c>
      <c r="AA74" s="89" t="str">
        <f aca="false">IF(Z74="","",IF(Z74&gt;=Instruções!$B$8,"Manter",IF(Z74&gt;=Instruções!$B$9,"Revisar","Descartar")))</f>
        <v/>
      </c>
      <c r="AB74" s="90"/>
    </row>
    <row r="75" customFormat="false" ht="51.75" hidden="false" customHeight="true" outlineLevel="0" collapsed="false">
      <c r="A75" s="121" t="s">
        <v>427</v>
      </c>
      <c r="B75" s="105" t="s">
        <v>235</v>
      </c>
      <c r="C75" s="106" t="s">
        <v>325</v>
      </c>
      <c r="D75" s="107" t="s">
        <v>326</v>
      </c>
      <c r="E75" s="108" t="s">
        <v>275</v>
      </c>
      <c r="F75" s="109" t="s">
        <v>428</v>
      </c>
      <c r="H75" s="83"/>
      <c r="I75" s="84"/>
      <c r="J75" s="84"/>
      <c r="K75" s="84"/>
      <c r="L75" s="84"/>
      <c r="M75" s="83"/>
      <c r="N75" s="84"/>
      <c r="O75" s="84"/>
      <c r="P75" s="84"/>
      <c r="Q75" s="84"/>
      <c r="R75" s="83"/>
      <c r="S75" s="84"/>
      <c r="T75" s="84"/>
      <c r="U75" s="84"/>
      <c r="V75" s="85"/>
      <c r="W75" s="86" t="str">
        <f aca="false">IF(COUNT(H75:L75)&lt;Instruções!$B$5,"",AVERAGE(H75:L75)/Instruções!$B$6-Instruções!$B$7)</f>
        <v/>
      </c>
      <c r="X75" s="87" t="str">
        <f aca="false">IF(COUNT(M75:Q75)&lt;Instruções!$B$5,"",AVERAGE(M75:Q75)/Instruções!$B$6-Instruções!$B$7)</f>
        <v/>
      </c>
      <c r="Y75" s="87" t="str">
        <f aca="false">IF(COUNT(R75:V75)&lt;Instruções!$B$5,"",AVERAGE(R75:V75)/Instruções!$B$6-Instruções!$B$7)</f>
        <v/>
      </c>
      <c r="Z75" s="88" t="str">
        <f aca="false">IF(OR(W75="",X75="",Y75=""),"",AVERAGE(W75:Y75))</f>
        <v/>
      </c>
      <c r="AA75" s="89" t="str">
        <f aca="false">IF(Z75="","",IF(Z75&gt;=Instruções!$B$8,"Manter",IF(Z75&gt;=Instruções!$B$9,"Revisar","Descartar")))</f>
        <v/>
      </c>
      <c r="AB75" s="110"/>
    </row>
    <row r="76" customFormat="false" ht="37.5" hidden="false" customHeight="true" outlineLevel="0" collapsed="false">
      <c r="A76" s="121" t="s">
        <v>429</v>
      </c>
      <c r="B76" s="78" t="s">
        <v>235</v>
      </c>
      <c r="C76" s="79" t="s">
        <v>325</v>
      </c>
      <c r="D76" s="80" t="s">
        <v>326</v>
      </c>
      <c r="E76" s="81" t="s">
        <v>278</v>
      </c>
      <c r="F76" s="82" t="s">
        <v>430</v>
      </c>
      <c r="H76" s="83"/>
      <c r="I76" s="84"/>
      <c r="J76" s="84"/>
      <c r="K76" s="84"/>
      <c r="L76" s="84"/>
      <c r="M76" s="83"/>
      <c r="N76" s="84"/>
      <c r="O76" s="84"/>
      <c r="P76" s="84"/>
      <c r="Q76" s="84"/>
      <c r="R76" s="83"/>
      <c r="S76" s="84"/>
      <c r="T76" s="84"/>
      <c r="U76" s="84"/>
      <c r="V76" s="85"/>
      <c r="W76" s="86" t="str">
        <f aca="false">IF(COUNT(H76:L76)&lt;Instruções!$B$5,"",AVERAGE(H76:L76)/Instruções!$B$6-Instruções!$B$7)</f>
        <v/>
      </c>
      <c r="X76" s="87" t="str">
        <f aca="false">IF(COUNT(M76:Q76)&lt;Instruções!$B$5,"",AVERAGE(M76:Q76)/Instruções!$B$6-Instruções!$B$7)</f>
        <v/>
      </c>
      <c r="Y76" s="87" t="str">
        <f aca="false">IF(COUNT(R76:V76)&lt;Instruções!$B$5,"",AVERAGE(R76:V76)/Instruções!$B$6-Instruções!$B$7)</f>
        <v/>
      </c>
      <c r="Z76" s="88" t="str">
        <f aca="false">IF(OR(W76="",X76="",Y76=""),"",AVERAGE(W76:Y76))</f>
        <v/>
      </c>
      <c r="AA76" s="89" t="str">
        <f aca="false">IF(Z76="","",IF(Z76&gt;=Instruções!$B$8,"Manter",IF(Z76&gt;=Instruções!$B$9,"Revisar","Descartar")))</f>
        <v/>
      </c>
      <c r="AB76" s="90"/>
    </row>
    <row r="77" customFormat="false" ht="37.5" hidden="false" customHeight="true" outlineLevel="0" collapsed="false">
      <c r="A77" s="121" t="s">
        <v>431</v>
      </c>
      <c r="B77" s="105" t="s">
        <v>235</v>
      </c>
      <c r="C77" s="106" t="s">
        <v>325</v>
      </c>
      <c r="D77" s="107" t="s">
        <v>326</v>
      </c>
      <c r="E77" s="108" t="s">
        <v>278</v>
      </c>
      <c r="F77" s="109" t="s">
        <v>432</v>
      </c>
      <c r="H77" s="83"/>
      <c r="I77" s="84"/>
      <c r="J77" s="84"/>
      <c r="K77" s="84"/>
      <c r="L77" s="84"/>
      <c r="M77" s="83"/>
      <c r="N77" s="84"/>
      <c r="O77" s="84"/>
      <c r="P77" s="84"/>
      <c r="Q77" s="84"/>
      <c r="R77" s="83"/>
      <c r="S77" s="84"/>
      <c r="T77" s="84"/>
      <c r="U77" s="84"/>
      <c r="V77" s="85"/>
      <c r="W77" s="86" t="str">
        <f aca="false">IF(COUNT(H77:L77)&lt;Instruções!$B$5,"",AVERAGE(H77:L77)/Instruções!$B$6-Instruções!$B$7)</f>
        <v/>
      </c>
      <c r="X77" s="87" t="str">
        <f aca="false">IF(COUNT(M77:Q77)&lt;Instruções!$B$5,"",AVERAGE(M77:Q77)/Instruções!$B$6-Instruções!$B$7)</f>
        <v/>
      </c>
      <c r="Y77" s="87" t="str">
        <f aca="false">IF(COUNT(R77:V77)&lt;Instruções!$B$5,"",AVERAGE(R77:V77)/Instruções!$B$6-Instruções!$B$7)</f>
        <v/>
      </c>
      <c r="Z77" s="88" t="str">
        <f aca="false">IF(OR(W77="",X77="",Y77=""),"",AVERAGE(W77:Y77))</f>
        <v/>
      </c>
      <c r="AA77" s="89" t="str">
        <f aca="false">IF(Z77="","",IF(Z77&gt;=Instruções!$B$8,"Manter",IF(Z77&gt;=Instruções!$B$9,"Revisar","Descartar")))</f>
        <v/>
      </c>
      <c r="AB77" s="110"/>
    </row>
    <row r="78" customFormat="false" ht="51.75" hidden="false" customHeight="true" outlineLevel="0" collapsed="false">
      <c r="A78" s="121" t="s">
        <v>433</v>
      </c>
      <c r="B78" s="78" t="s">
        <v>235</v>
      </c>
      <c r="C78" s="79" t="s">
        <v>325</v>
      </c>
      <c r="D78" s="80" t="s">
        <v>326</v>
      </c>
      <c r="E78" s="81" t="s">
        <v>278</v>
      </c>
      <c r="F78" s="82" t="s">
        <v>434</v>
      </c>
      <c r="H78" s="83"/>
      <c r="I78" s="84"/>
      <c r="J78" s="84"/>
      <c r="K78" s="84"/>
      <c r="L78" s="84"/>
      <c r="M78" s="83"/>
      <c r="N78" s="84"/>
      <c r="O78" s="84"/>
      <c r="P78" s="84"/>
      <c r="Q78" s="84"/>
      <c r="R78" s="83"/>
      <c r="S78" s="84"/>
      <c r="T78" s="84"/>
      <c r="U78" s="84"/>
      <c r="V78" s="85"/>
      <c r="W78" s="86" t="str">
        <f aca="false">IF(COUNT(H78:L78)&lt;Instruções!$B$5,"",AVERAGE(H78:L78)/Instruções!$B$6-Instruções!$B$7)</f>
        <v/>
      </c>
      <c r="X78" s="87" t="str">
        <f aca="false">IF(COUNT(M78:Q78)&lt;Instruções!$B$5,"",AVERAGE(M78:Q78)/Instruções!$B$6-Instruções!$B$7)</f>
        <v/>
      </c>
      <c r="Y78" s="87" t="str">
        <f aca="false">IF(COUNT(R78:V78)&lt;Instruções!$B$5,"",AVERAGE(R78:V78)/Instruções!$B$6-Instruções!$B$7)</f>
        <v/>
      </c>
      <c r="Z78" s="88" t="str">
        <f aca="false">IF(OR(W78="",X78="",Y78=""),"",AVERAGE(W78:Y78))</f>
        <v/>
      </c>
      <c r="AA78" s="89" t="str">
        <f aca="false">IF(Z78="","",IF(Z78&gt;=Instruções!$B$8,"Manter",IF(Z78&gt;=Instruções!$B$9,"Revisar","Descartar")))</f>
        <v/>
      </c>
      <c r="AB78" s="90"/>
    </row>
    <row r="79" customFormat="false" ht="37.5" hidden="false" customHeight="true" outlineLevel="0" collapsed="false">
      <c r="A79" s="121" t="s">
        <v>435</v>
      </c>
      <c r="B79" s="105" t="s">
        <v>235</v>
      </c>
      <c r="C79" s="106" t="s">
        <v>325</v>
      </c>
      <c r="D79" s="107" t="s">
        <v>326</v>
      </c>
      <c r="E79" s="108" t="s">
        <v>350</v>
      </c>
      <c r="F79" s="109" t="s">
        <v>436</v>
      </c>
      <c r="H79" s="83"/>
      <c r="I79" s="84"/>
      <c r="J79" s="84"/>
      <c r="K79" s="84"/>
      <c r="L79" s="84"/>
      <c r="M79" s="83"/>
      <c r="N79" s="84"/>
      <c r="O79" s="84"/>
      <c r="P79" s="84"/>
      <c r="Q79" s="84"/>
      <c r="R79" s="83"/>
      <c r="S79" s="84"/>
      <c r="T79" s="84"/>
      <c r="U79" s="84"/>
      <c r="V79" s="85"/>
      <c r="W79" s="86" t="str">
        <f aca="false">IF(COUNT(H79:L79)&lt;Instruções!$B$5,"",AVERAGE(H79:L79)/Instruções!$B$6-Instruções!$B$7)</f>
        <v/>
      </c>
      <c r="X79" s="87" t="str">
        <f aca="false">IF(COUNT(M79:Q79)&lt;Instruções!$B$5,"",AVERAGE(M79:Q79)/Instruções!$B$6-Instruções!$B$7)</f>
        <v/>
      </c>
      <c r="Y79" s="87" t="str">
        <f aca="false">IF(COUNT(R79:V79)&lt;Instruções!$B$5,"",AVERAGE(R79:V79)/Instruções!$B$6-Instruções!$B$7)</f>
        <v/>
      </c>
      <c r="Z79" s="88" t="str">
        <f aca="false">IF(OR(W79="",X79="",Y79=""),"",AVERAGE(W79:Y79))</f>
        <v/>
      </c>
      <c r="AA79" s="89" t="str">
        <f aca="false">IF(Z79="","",IF(Z79&gt;=Instruções!$B$8,"Manter",IF(Z79&gt;=Instruções!$B$9,"Revisar","Descartar")))</f>
        <v/>
      </c>
      <c r="AB79" s="110"/>
    </row>
    <row r="80" customFormat="false" ht="51.75" hidden="false" customHeight="true" outlineLevel="0" collapsed="false">
      <c r="A80" s="121" t="s">
        <v>437</v>
      </c>
      <c r="B80" s="78" t="s">
        <v>235</v>
      </c>
      <c r="C80" s="79" t="s">
        <v>325</v>
      </c>
      <c r="D80" s="80" t="s">
        <v>326</v>
      </c>
      <c r="E80" s="81" t="s">
        <v>350</v>
      </c>
      <c r="F80" s="82" t="s">
        <v>438</v>
      </c>
      <c r="H80" s="83"/>
      <c r="I80" s="84"/>
      <c r="J80" s="84"/>
      <c r="K80" s="84"/>
      <c r="L80" s="84"/>
      <c r="M80" s="83"/>
      <c r="N80" s="84"/>
      <c r="O80" s="84"/>
      <c r="P80" s="84"/>
      <c r="Q80" s="84"/>
      <c r="R80" s="83"/>
      <c r="S80" s="84"/>
      <c r="T80" s="84"/>
      <c r="U80" s="84"/>
      <c r="V80" s="85"/>
      <c r="W80" s="86" t="str">
        <f aca="false">IF(COUNT(H80:L80)&lt;Instruções!$B$5,"",AVERAGE(H80:L80)/Instruções!$B$6-Instruções!$B$7)</f>
        <v/>
      </c>
      <c r="X80" s="87" t="str">
        <f aca="false">IF(COUNT(M80:Q80)&lt;Instruções!$B$5,"",AVERAGE(M80:Q80)/Instruções!$B$6-Instruções!$B$7)</f>
        <v/>
      </c>
      <c r="Y80" s="87" t="str">
        <f aca="false">IF(COUNT(R80:V80)&lt;Instruções!$B$5,"",AVERAGE(R80:V80)/Instruções!$B$6-Instruções!$B$7)</f>
        <v/>
      </c>
      <c r="Z80" s="88" t="str">
        <f aca="false">IF(OR(W80="",X80="",Y80=""),"",AVERAGE(W80:Y80))</f>
        <v/>
      </c>
      <c r="AA80" s="89" t="str">
        <f aca="false">IF(Z80="","",IF(Z80&gt;=Instruções!$B$8,"Manter",IF(Z80&gt;=Instruções!$B$9,"Revisar","Descartar")))</f>
        <v/>
      </c>
      <c r="AB80" s="90"/>
    </row>
    <row r="81" customFormat="false" ht="51.75" hidden="false" customHeight="true" outlineLevel="0" collapsed="false">
      <c r="A81" s="121" t="s">
        <v>439</v>
      </c>
      <c r="B81" s="105" t="s">
        <v>235</v>
      </c>
      <c r="C81" s="106" t="s">
        <v>325</v>
      </c>
      <c r="D81" s="107" t="s">
        <v>326</v>
      </c>
      <c r="E81" s="108" t="s">
        <v>350</v>
      </c>
      <c r="F81" s="109" t="s">
        <v>440</v>
      </c>
      <c r="H81" s="83"/>
      <c r="I81" s="84"/>
      <c r="J81" s="84"/>
      <c r="K81" s="84"/>
      <c r="L81" s="84"/>
      <c r="M81" s="83"/>
      <c r="N81" s="84"/>
      <c r="O81" s="84"/>
      <c r="P81" s="84"/>
      <c r="Q81" s="84"/>
      <c r="R81" s="83"/>
      <c r="S81" s="84"/>
      <c r="T81" s="84"/>
      <c r="U81" s="84"/>
      <c r="V81" s="85"/>
      <c r="W81" s="86" t="str">
        <f aca="false">IF(COUNT(H81:L81)&lt;Instruções!$B$5,"",AVERAGE(H81:L81)/Instruções!$B$6-Instruções!$B$7)</f>
        <v/>
      </c>
      <c r="X81" s="87" t="str">
        <f aca="false">IF(COUNT(M81:Q81)&lt;Instruções!$B$5,"",AVERAGE(M81:Q81)/Instruções!$B$6-Instruções!$B$7)</f>
        <v/>
      </c>
      <c r="Y81" s="87" t="str">
        <f aca="false">IF(COUNT(R81:V81)&lt;Instruções!$B$5,"",AVERAGE(R81:V81)/Instruções!$B$6-Instruções!$B$7)</f>
        <v/>
      </c>
      <c r="Z81" s="88" t="str">
        <f aca="false">IF(OR(W81="",X81="",Y81=""),"",AVERAGE(W81:Y81))</f>
        <v/>
      </c>
      <c r="AA81" s="89" t="str">
        <f aca="false">IF(Z81="","",IF(Z81&gt;=Instruções!$B$8,"Manter",IF(Z81&gt;=Instruções!$B$9,"Revisar","Descartar")))</f>
        <v/>
      </c>
      <c r="AB81" s="110"/>
    </row>
    <row r="82" customFormat="false" ht="39" hidden="false" customHeight="true" outlineLevel="0" collapsed="false">
      <c r="A82" s="123" t="s">
        <v>441</v>
      </c>
      <c r="B82" s="123"/>
      <c r="C82" s="123"/>
      <c r="D82" s="123"/>
      <c r="E82" s="123"/>
      <c r="F82" s="123"/>
      <c r="G82" s="124"/>
      <c r="H82" s="125"/>
      <c r="I82" s="124"/>
      <c r="J82" s="124"/>
      <c r="K82" s="124"/>
      <c r="L82" s="124"/>
      <c r="M82" s="125"/>
      <c r="N82" s="124"/>
      <c r="O82" s="124"/>
      <c r="P82" s="124"/>
      <c r="Q82" s="124"/>
      <c r="R82" s="125"/>
      <c r="S82" s="124"/>
      <c r="T82" s="124"/>
      <c r="U82" s="124"/>
      <c r="V82" s="126"/>
      <c r="W82" s="125"/>
      <c r="X82" s="124"/>
      <c r="Y82" s="124"/>
      <c r="Z82" s="124"/>
      <c r="AA82" s="125"/>
      <c r="AB82" s="125"/>
    </row>
    <row r="83" customFormat="false" ht="37.5" hidden="false" customHeight="true" outlineLevel="0" collapsed="false">
      <c r="A83" s="127" t="s">
        <v>442</v>
      </c>
      <c r="B83" s="78" t="s">
        <v>240</v>
      </c>
      <c r="C83" s="79" t="s">
        <v>443</v>
      </c>
      <c r="D83" s="80" t="s">
        <v>118</v>
      </c>
      <c r="E83" s="81" t="s">
        <v>282</v>
      </c>
      <c r="F83" s="82" t="s">
        <v>444</v>
      </c>
      <c r="H83" s="83"/>
      <c r="I83" s="84"/>
      <c r="J83" s="84"/>
      <c r="K83" s="84"/>
      <c r="L83" s="84"/>
      <c r="M83" s="83"/>
      <c r="N83" s="84"/>
      <c r="O83" s="84"/>
      <c r="P83" s="84"/>
      <c r="Q83" s="84"/>
      <c r="R83" s="83"/>
      <c r="S83" s="84"/>
      <c r="T83" s="84"/>
      <c r="U83" s="84"/>
      <c r="V83" s="85"/>
      <c r="W83" s="86" t="str">
        <f aca="false">IF(COUNT(H83:L83)&lt;Instruções!$B$5,"",AVERAGE(H83:L83)/Instruções!$B$6-Instruções!$B$7)</f>
        <v/>
      </c>
      <c r="X83" s="87" t="str">
        <f aca="false">IF(COUNT(M83:Q83)&lt;Instruções!$B$5,"",AVERAGE(M83:Q83)/Instruções!$B$6-Instruções!$B$7)</f>
        <v/>
      </c>
      <c r="Y83" s="87" t="str">
        <f aca="false">IF(COUNT(R83:V83)&lt;Instruções!$B$5,"",AVERAGE(R83:V83)/Instruções!$B$6-Instruções!$B$7)</f>
        <v/>
      </c>
      <c r="Z83" s="88" t="str">
        <f aca="false">IF(OR(W83="",X83="",Y83=""),"",AVERAGE(W83:Y83))</f>
        <v/>
      </c>
      <c r="AA83" s="89" t="str">
        <f aca="false">IF(Z83="","",IF(Z83&gt;=Instruções!$B$8,"Manter",IF(Z83&gt;=Instruções!$B$9,"Revisar","Descartar")))</f>
        <v/>
      </c>
      <c r="AB83" s="90"/>
    </row>
    <row r="84" customFormat="false" ht="37.5" hidden="false" customHeight="true" outlineLevel="0" collapsed="false">
      <c r="A84" s="128" t="s">
        <v>445</v>
      </c>
      <c r="B84" s="92" t="s">
        <v>240</v>
      </c>
      <c r="C84" s="93" t="s">
        <v>443</v>
      </c>
      <c r="D84" s="94" t="s">
        <v>271</v>
      </c>
      <c r="E84" s="95" t="s">
        <v>272</v>
      </c>
      <c r="F84" s="96" t="s">
        <v>446</v>
      </c>
      <c r="H84" s="97"/>
      <c r="I84" s="98"/>
      <c r="J84" s="98"/>
      <c r="K84" s="98"/>
      <c r="L84" s="98"/>
      <c r="M84" s="97"/>
      <c r="N84" s="98"/>
      <c r="O84" s="98"/>
      <c r="P84" s="98"/>
      <c r="Q84" s="98"/>
      <c r="R84" s="97"/>
      <c r="S84" s="98"/>
      <c r="T84" s="98"/>
      <c r="U84" s="98"/>
      <c r="V84" s="99"/>
      <c r="W84" s="100" t="str">
        <f aca="false">IF(COUNT(H84:L84)&lt;Instruções!$B$5,"",AVERAGE(H84:L84)/Instruções!$B$6-Instruções!$B$7)</f>
        <v/>
      </c>
      <c r="X84" s="101" t="str">
        <f aca="false">IF(COUNT(M84:Q84)&lt;Instruções!$B$5,"",AVERAGE(M84:Q84)/Instruções!$B$6-Instruções!$B$7)</f>
        <v/>
      </c>
      <c r="Y84" s="101" t="str">
        <f aca="false">IF(COUNT(R84:V84)&lt;Instruções!$B$5,"",AVERAGE(R84:V84)/Instruções!$B$6-Instruções!$B$7)</f>
        <v/>
      </c>
      <c r="Z84" s="102" t="str">
        <f aca="false">IF(OR(W84="",X84="",Y84=""),"",AVERAGE(W84:Y84))</f>
        <v/>
      </c>
      <c r="AA84" s="103" t="str">
        <f aca="false">IF(Z84="","",IF(Z84&gt;=Instruções!$B$8,"Manter",IF(Z84&gt;=Instruções!$B$9,"Revisar","Descartar")))</f>
        <v/>
      </c>
      <c r="AB84" s="104"/>
    </row>
    <row r="85" customFormat="false" ht="37.5" hidden="false" customHeight="true" outlineLevel="0" collapsed="false">
      <c r="A85" s="128" t="s">
        <v>447</v>
      </c>
      <c r="B85" s="92" t="s">
        <v>240</v>
      </c>
      <c r="C85" s="93" t="s">
        <v>443</v>
      </c>
      <c r="D85" s="94" t="s">
        <v>271</v>
      </c>
      <c r="E85" s="95" t="s">
        <v>275</v>
      </c>
      <c r="F85" s="96" t="s">
        <v>448</v>
      </c>
      <c r="H85" s="97"/>
      <c r="I85" s="98"/>
      <c r="J85" s="98"/>
      <c r="K85" s="98"/>
      <c r="L85" s="98"/>
      <c r="M85" s="97"/>
      <c r="N85" s="98"/>
      <c r="O85" s="98"/>
      <c r="P85" s="98"/>
      <c r="Q85" s="98"/>
      <c r="R85" s="97"/>
      <c r="S85" s="98"/>
      <c r="T85" s="98"/>
      <c r="U85" s="98"/>
      <c r="V85" s="99"/>
      <c r="W85" s="100" t="str">
        <f aca="false">IF(COUNT(H85:L85)&lt;Instruções!$B$5,"",AVERAGE(H85:L85)/Instruções!$B$6-Instruções!$B$7)</f>
        <v/>
      </c>
      <c r="X85" s="101" t="str">
        <f aca="false">IF(COUNT(M85:Q85)&lt;Instruções!$B$5,"",AVERAGE(M85:Q85)/Instruções!$B$6-Instruções!$B$7)</f>
        <v/>
      </c>
      <c r="Y85" s="101" t="str">
        <f aca="false">IF(COUNT(R85:V85)&lt;Instruções!$B$5,"",AVERAGE(R85:V85)/Instruções!$B$6-Instruções!$B$7)</f>
        <v/>
      </c>
      <c r="Z85" s="102" t="str">
        <f aca="false">IF(OR(W85="",X85="",Y85=""),"",AVERAGE(W85:Y85))</f>
        <v/>
      </c>
      <c r="AA85" s="103" t="str">
        <f aca="false">IF(Z85="","",IF(Z85&gt;=Instruções!$B$8,"Manter",IF(Z85&gt;=Instruções!$B$9,"Revisar","Descartar")))</f>
        <v/>
      </c>
      <c r="AB85" s="104"/>
    </row>
    <row r="86" customFormat="false" ht="37.5" hidden="false" customHeight="true" outlineLevel="0" collapsed="false">
      <c r="A86" s="127" t="s">
        <v>449</v>
      </c>
      <c r="B86" s="105" t="s">
        <v>240</v>
      </c>
      <c r="C86" s="106" t="s">
        <v>450</v>
      </c>
      <c r="D86" s="107" t="s">
        <v>118</v>
      </c>
      <c r="E86" s="108" t="s">
        <v>313</v>
      </c>
      <c r="F86" s="109" t="s">
        <v>451</v>
      </c>
      <c r="H86" s="83"/>
      <c r="I86" s="84"/>
      <c r="J86" s="84"/>
      <c r="K86" s="84"/>
      <c r="L86" s="84"/>
      <c r="M86" s="83"/>
      <c r="N86" s="84"/>
      <c r="O86" s="84"/>
      <c r="P86" s="84"/>
      <c r="Q86" s="84"/>
      <c r="R86" s="83"/>
      <c r="S86" s="84"/>
      <c r="T86" s="84"/>
      <c r="U86" s="84"/>
      <c r="V86" s="85"/>
      <c r="W86" s="86" t="str">
        <f aca="false">IF(COUNT(H86:L86)&lt;Instruções!$B$5,"",AVERAGE(H86:L86)/Instruções!$B$6-Instruções!$B$7)</f>
        <v/>
      </c>
      <c r="X86" s="87" t="str">
        <f aca="false">IF(COUNT(M86:Q86)&lt;Instruções!$B$5,"",AVERAGE(M86:Q86)/Instruções!$B$6-Instruções!$B$7)</f>
        <v/>
      </c>
      <c r="Y86" s="87" t="str">
        <f aca="false">IF(COUNT(R86:V86)&lt;Instruções!$B$5,"",AVERAGE(R86:V86)/Instruções!$B$6-Instruções!$B$7)</f>
        <v/>
      </c>
      <c r="Z86" s="88" t="str">
        <f aca="false">IF(OR(W86="",X86="",Y86=""),"",AVERAGE(W86:Y86))</f>
        <v/>
      </c>
      <c r="AA86" s="89" t="str">
        <f aca="false">IF(Z86="","",IF(Z86&gt;=Instruções!$B$8,"Manter",IF(Z86&gt;=Instruções!$B$9,"Revisar","Descartar")))</f>
        <v/>
      </c>
      <c r="AB86" s="110"/>
    </row>
    <row r="87" customFormat="false" ht="51.75" hidden="false" customHeight="true" outlineLevel="0" collapsed="false">
      <c r="A87" s="128" t="s">
        <v>452</v>
      </c>
      <c r="B87" s="111" t="s">
        <v>240</v>
      </c>
      <c r="C87" s="112" t="s">
        <v>450</v>
      </c>
      <c r="D87" s="113" t="s">
        <v>271</v>
      </c>
      <c r="E87" s="114" t="s">
        <v>272</v>
      </c>
      <c r="F87" s="115" t="s">
        <v>453</v>
      </c>
      <c r="H87" s="97"/>
      <c r="I87" s="98"/>
      <c r="J87" s="98"/>
      <c r="K87" s="98"/>
      <c r="L87" s="98"/>
      <c r="M87" s="97"/>
      <c r="N87" s="98"/>
      <c r="O87" s="98"/>
      <c r="P87" s="98"/>
      <c r="Q87" s="98"/>
      <c r="R87" s="97"/>
      <c r="S87" s="98"/>
      <c r="T87" s="98"/>
      <c r="U87" s="98"/>
      <c r="V87" s="99"/>
      <c r="W87" s="100" t="str">
        <f aca="false">IF(COUNT(H87:L87)&lt;Instruções!$B$5,"",AVERAGE(H87:L87)/Instruções!$B$6-Instruções!$B$7)</f>
        <v/>
      </c>
      <c r="X87" s="101" t="str">
        <f aca="false">IF(COUNT(M87:Q87)&lt;Instruções!$B$5,"",AVERAGE(M87:Q87)/Instruções!$B$6-Instruções!$B$7)</f>
        <v/>
      </c>
      <c r="Y87" s="101" t="str">
        <f aca="false">IF(COUNT(R87:V87)&lt;Instruções!$B$5,"",AVERAGE(R87:V87)/Instruções!$B$6-Instruções!$B$7)</f>
        <v/>
      </c>
      <c r="Z87" s="102" t="str">
        <f aca="false">IF(OR(W87="",X87="",Y87=""),"",AVERAGE(W87:Y87))</f>
        <v/>
      </c>
      <c r="AA87" s="103" t="str">
        <f aca="false">IF(Z87="","",IF(Z87&gt;=Instruções!$B$8,"Manter",IF(Z87&gt;=Instruções!$B$9,"Revisar","Descartar")))</f>
        <v/>
      </c>
      <c r="AB87" s="116"/>
    </row>
    <row r="88" customFormat="false" ht="37.5" hidden="false" customHeight="true" outlineLevel="0" collapsed="false">
      <c r="A88" s="127" t="s">
        <v>454</v>
      </c>
      <c r="B88" s="78" t="s">
        <v>240</v>
      </c>
      <c r="C88" s="79" t="s">
        <v>455</v>
      </c>
      <c r="D88" s="80" t="s">
        <v>118</v>
      </c>
      <c r="E88" s="81" t="s">
        <v>313</v>
      </c>
      <c r="F88" s="82" t="s">
        <v>456</v>
      </c>
      <c r="H88" s="83"/>
      <c r="I88" s="84"/>
      <c r="J88" s="84"/>
      <c r="K88" s="84"/>
      <c r="L88" s="84"/>
      <c r="M88" s="83"/>
      <c r="N88" s="84"/>
      <c r="O88" s="84"/>
      <c r="P88" s="84"/>
      <c r="Q88" s="84"/>
      <c r="R88" s="83"/>
      <c r="S88" s="84"/>
      <c r="T88" s="84"/>
      <c r="U88" s="84"/>
      <c r="V88" s="85"/>
      <c r="W88" s="86" t="str">
        <f aca="false">IF(COUNT(H88:L88)&lt;Instruções!$B$5,"",AVERAGE(H88:L88)/Instruções!$B$6-Instruções!$B$7)</f>
        <v/>
      </c>
      <c r="X88" s="87" t="str">
        <f aca="false">IF(COUNT(M88:Q88)&lt;Instruções!$B$5,"",AVERAGE(M88:Q88)/Instruções!$B$6-Instruções!$B$7)</f>
        <v/>
      </c>
      <c r="Y88" s="87" t="str">
        <f aca="false">IF(COUNT(R88:V88)&lt;Instruções!$B$5,"",AVERAGE(R88:V88)/Instruções!$B$6-Instruções!$B$7)</f>
        <v/>
      </c>
      <c r="Z88" s="88" t="str">
        <f aca="false">IF(OR(W88="",X88="",Y88=""),"",AVERAGE(W88:Y88))</f>
        <v/>
      </c>
      <c r="AA88" s="89" t="str">
        <f aca="false">IF(Z88="","",IF(Z88&gt;=Instruções!$B$8,"Manter",IF(Z88&gt;=Instruções!$B$9,"Revisar","Descartar")))</f>
        <v/>
      </c>
      <c r="AB88" s="90"/>
    </row>
    <row r="89" customFormat="false" ht="37.5" hidden="false" customHeight="true" outlineLevel="0" collapsed="false">
      <c r="A89" s="128" t="s">
        <v>457</v>
      </c>
      <c r="B89" s="92" t="s">
        <v>240</v>
      </c>
      <c r="C89" s="93" t="s">
        <v>455</v>
      </c>
      <c r="D89" s="94" t="s">
        <v>271</v>
      </c>
      <c r="E89" s="95" t="s">
        <v>272</v>
      </c>
      <c r="F89" s="96" t="s">
        <v>458</v>
      </c>
      <c r="H89" s="97"/>
      <c r="I89" s="98"/>
      <c r="J89" s="98"/>
      <c r="K89" s="98"/>
      <c r="L89" s="98"/>
      <c r="M89" s="97"/>
      <c r="N89" s="98"/>
      <c r="O89" s="98"/>
      <c r="P89" s="98"/>
      <c r="Q89" s="98"/>
      <c r="R89" s="97"/>
      <c r="S89" s="98"/>
      <c r="T89" s="98"/>
      <c r="U89" s="98"/>
      <c r="V89" s="99"/>
      <c r="W89" s="100" t="str">
        <f aca="false">IF(COUNT(H89:L89)&lt;Instruções!$B$5,"",AVERAGE(H89:L89)/Instruções!$B$6-Instruções!$B$7)</f>
        <v/>
      </c>
      <c r="X89" s="101" t="str">
        <f aca="false">IF(COUNT(M89:Q89)&lt;Instruções!$B$5,"",AVERAGE(M89:Q89)/Instruções!$B$6-Instruções!$B$7)</f>
        <v/>
      </c>
      <c r="Y89" s="101" t="str">
        <f aca="false">IF(COUNT(R89:V89)&lt;Instruções!$B$5,"",AVERAGE(R89:V89)/Instruções!$B$6-Instruções!$B$7)</f>
        <v/>
      </c>
      <c r="Z89" s="102" t="str">
        <f aca="false">IF(OR(W89="",X89="",Y89=""),"",AVERAGE(W89:Y89))</f>
        <v/>
      </c>
      <c r="AA89" s="103" t="str">
        <f aca="false">IF(Z89="","",IF(Z89&gt;=Instruções!$B$8,"Manter",IF(Z89&gt;=Instruções!$B$9,"Revisar","Descartar")))</f>
        <v/>
      </c>
      <c r="AB89" s="104"/>
    </row>
    <row r="90" customFormat="false" ht="51.75" hidden="false" customHeight="true" outlineLevel="0" collapsed="false">
      <c r="A90" s="127" t="s">
        <v>459</v>
      </c>
      <c r="B90" s="105" t="s">
        <v>240</v>
      </c>
      <c r="C90" s="106" t="s">
        <v>460</v>
      </c>
      <c r="D90" s="107" t="s">
        <v>118</v>
      </c>
      <c r="E90" s="108" t="s">
        <v>282</v>
      </c>
      <c r="F90" s="109" t="s">
        <v>461</v>
      </c>
      <c r="H90" s="83"/>
      <c r="I90" s="84"/>
      <c r="J90" s="84"/>
      <c r="K90" s="84"/>
      <c r="L90" s="84"/>
      <c r="M90" s="83"/>
      <c r="N90" s="84"/>
      <c r="O90" s="84"/>
      <c r="P90" s="84"/>
      <c r="Q90" s="84"/>
      <c r="R90" s="83"/>
      <c r="S90" s="84"/>
      <c r="T90" s="84"/>
      <c r="U90" s="84"/>
      <c r="V90" s="85"/>
      <c r="W90" s="86" t="str">
        <f aca="false">IF(COUNT(H90:L90)&lt;Instruções!$B$5,"",AVERAGE(H90:L90)/Instruções!$B$6-Instruções!$B$7)</f>
        <v/>
      </c>
      <c r="X90" s="87" t="str">
        <f aca="false">IF(COUNT(M90:Q90)&lt;Instruções!$B$5,"",AVERAGE(M90:Q90)/Instruções!$B$6-Instruções!$B$7)</f>
        <v/>
      </c>
      <c r="Y90" s="87" t="str">
        <f aca="false">IF(COUNT(R90:V90)&lt;Instruções!$B$5,"",AVERAGE(R90:V90)/Instruções!$B$6-Instruções!$B$7)</f>
        <v/>
      </c>
      <c r="Z90" s="88" t="str">
        <f aca="false">IF(OR(W90="",X90="",Y90=""),"",AVERAGE(W90:Y90))</f>
        <v/>
      </c>
      <c r="AA90" s="89" t="str">
        <f aca="false">IF(Z90="","",IF(Z90&gt;=Instruções!$B$8,"Manter",IF(Z90&gt;=Instruções!$B$9,"Revisar","Descartar")))</f>
        <v/>
      </c>
      <c r="AB90" s="110"/>
    </row>
    <row r="91" customFormat="false" ht="37.5" hidden="false" customHeight="true" outlineLevel="0" collapsed="false">
      <c r="A91" s="128" t="s">
        <v>462</v>
      </c>
      <c r="B91" s="111" t="s">
        <v>240</v>
      </c>
      <c r="C91" s="112" t="s">
        <v>460</v>
      </c>
      <c r="D91" s="113" t="s">
        <v>271</v>
      </c>
      <c r="E91" s="114" t="s">
        <v>272</v>
      </c>
      <c r="F91" s="115" t="s">
        <v>463</v>
      </c>
      <c r="H91" s="97"/>
      <c r="I91" s="98"/>
      <c r="J91" s="98"/>
      <c r="K91" s="98"/>
      <c r="L91" s="98"/>
      <c r="M91" s="97"/>
      <c r="N91" s="98"/>
      <c r="O91" s="98"/>
      <c r="P91" s="98"/>
      <c r="Q91" s="98"/>
      <c r="R91" s="97"/>
      <c r="S91" s="98"/>
      <c r="T91" s="98"/>
      <c r="U91" s="98"/>
      <c r="V91" s="99"/>
      <c r="W91" s="100" t="str">
        <f aca="false">IF(COUNT(H91:L91)&lt;Instruções!$B$5,"",AVERAGE(H91:L91)/Instruções!$B$6-Instruções!$B$7)</f>
        <v/>
      </c>
      <c r="X91" s="101" t="str">
        <f aca="false">IF(COUNT(M91:Q91)&lt;Instruções!$B$5,"",AVERAGE(M91:Q91)/Instruções!$B$6-Instruções!$B$7)</f>
        <v/>
      </c>
      <c r="Y91" s="101" t="str">
        <f aca="false">IF(COUNT(R91:V91)&lt;Instruções!$B$5,"",AVERAGE(R91:V91)/Instruções!$B$6-Instruções!$B$7)</f>
        <v/>
      </c>
      <c r="Z91" s="102" t="str">
        <f aca="false">IF(OR(W91="",X91="",Y91=""),"",AVERAGE(W91:Y91))</f>
        <v/>
      </c>
      <c r="AA91" s="103" t="str">
        <f aca="false">IF(Z91="","",IF(Z91&gt;=Instruções!$B$8,"Manter",IF(Z91&gt;=Instruções!$B$9,"Revisar","Descartar")))</f>
        <v/>
      </c>
      <c r="AB91" s="116"/>
    </row>
    <row r="92" customFormat="false" ht="51.75" hidden="false" customHeight="true" outlineLevel="0" collapsed="false">
      <c r="A92" s="128" t="s">
        <v>464</v>
      </c>
      <c r="B92" s="111" t="s">
        <v>240</v>
      </c>
      <c r="C92" s="112" t="s">
        <v>460</v>
      </c>
      <c r="D92" s="113" t="s">
        <v>271</v>
      </c>
      <c r="E92" s="114" t="s">
        <v>275</v>
      </c>
      <c r="F92" s="115" t="s">
        <v>465</v>
      </c>
      <c r="H92" s="97"/>
      <c r="I92" s="98"/>
      <c r="J92" s="98"/>
      <c r="K92" s="98"/>
      <c r="L92" s="98"/>
      <c r="M92" s="97"/>
      <c r="N92" s="98"/>
      <c r="O92" s="98"/>
      <c r="P92" s="98"/>
      <c r="Q92" s="98"/>
      <c r="R92" s="97"/>
      <c r="S92" s="98"/>
      <c r="T92" s="98"/>
      <c r="U92" s="98"/>
      <c r="V92" s="99"/>
      <c r="W92" s="100" t="str">
        <f aca="false">IF(COUNT(H92:L92)&lt;Instruções!$B$5,"",AVERAGE(H92:L92)/Instruções!$B$6-Instruções!$B$7)</f>
        <v/>
      </c>
      <c r="X92" s="101" t="str">
        <f aca="false">IF(COUNT(M92:Q92)&lt;Instruções!$B$5,"",AVERAGE(M92:Q92)/Instruções!$B$6-Instruções!$B$7)</f>
        <v/>
      </c>
      <c r="Y92" s="101" t="str">
        <f aca="false">IF(COUNT(R92:V92)&lt;Instruções!$B$5,"",AVERAGE(R92:V92)/Instruções!$B$6-Instruções!$B$7)</f>
        <v/>
      </c>
      <c r="Z92" s="102" t="str">
        <f aca="false">IF(OR(W92="",X92="",Y92=""),"",AVERAGE(W92:Y92))</f>
        <v/>
      </c>
      <c r="AA92" s="103" t="str">
        <f aca="false">IF(Z92="","",IF(Z92&gt;=Instruções!$B$8,"Manter",IF(Z92&gt;=Instruções!$B$9,"Revisar","Descartar")))</f>
        <v/>
      </c>
      <c r="AB92" s="116"/>
    </row>
    <row r="93" customFormat="false" ht="51.75" hidden="false" customHeight="true" outlineLevel="0" collapsed="false">
      <c r="A93" s="127" t="s">
        <v>466</v>
      </c>
      <c r="B93" s="78" t="s">
        <v>240</v>
      </c>
      <c r="C93" s="79" t="s">
        <v>467</v>
      </c>
      <c r="D93" s="80" t="s">
        <v>118</v>
      </c>
      <c r="E93" s="81" t="s">
        <v>468</v>
      </c>
      <c r="F93" s="82" t="s">
        <v>469</v>
      </c>
      <c r="H93" s="83"/>
      <c r="I93" s="84"/>
      <c r="J93" s="84"/>
      <c r="K93" s="84"/>
      <c r="L93" s="84"/>
      <c r="M93" s="83"/>
      <c r="N93" s="84"/>
      <c r="O93" s="84"/>
      <c r="P93" s="84"/>
      <c r="Q93" s="84"/>
      <c r="R93" s="83"/>
      <c r="S93" s="84"/>
      <c r="T93" s="84"/>
      <c r="U93" s="84"/>
      <c r="V93" s="85"/>
      <c r="W93" s="86" t="str">
        <f aca="false">IF(COUNT(H93:L93)&lt;Instruções!$B$5,"",AVERAGE(H93:L93)/Instruções!$B$6-Instruções!$B$7)</f>
        <v/>
      </c>
      <c r="X93" s="87" t="str">
        <f aca="false">IF(COUNT(M93:Q93)&lt;Instruções!$B$5,"",AVERAGE(M93:Q93)/Instruções!$B$6-Instruções!$B$7)</f>
        <v/>
      </c>
      <c r="Y93" s="87" t="str">
        <f aca="false">IF(COUNT(R93:V93)&lt;Instruções!$B$5,"",AVERAGE(R93:V93)/Instruções!$B$6-Instruções!$B$7)</f>
        <v/>
      </c>
      <c r="Z93" s="88" t="str">
        <f aca="false">IF(OR(W93="",X93="",Y93=""),"",AVERAGE(W93:Y93))</f>
        <v/>
      </c>
      <c r="AA93" s="89" t="str">
        <f aca="false">IF(Z93="","",IF(Z93&gt;=Instruções!$B$8,"Manter",IF(Z93&gt;=Instruções!$B$9,"Revisar","Descartar")))</f>
        <v/>
      </c>
      <c r="AB93" s="90"/>
    </row>
    <row r="94" customFormat="false" ht="51.75" hidden="false" customHeight="true" outlineLevel="0" collapsed="false">
      <c r="A94" s="128" t="s">
        <v>470</v>
      </c>
      <c r="B94" s="92" t="s">
        <v>240</v>
      </c>
      <c r="C94" s="93" t="s">
        <v>467</v>
      </c>
      <c r="D94" s="94" t="s">
        <v>271</v>
      </c>
      <c r="E94" s="95" t="s">
        <v>272</v>
      </c>
      <c r="F94" s="96" t="s">
        <v>471</v>
      </c>
      <c r="H94" s="97"/>
      <c r="I94" s="98"/>
      <c r="J94" s="98"/>
      <c r="K94" s="98"/>
      <c r="L94" s="98"/>
      <c r="M94" s="97"/>
      <c r="N94" s="98"/>
      <c r="O94" s="98"/>
      <c r="P94" s="98"/>
      <c r="Q94" s="98"/>
      <c r="R94" s="97"/>
      <c r="S94" s="98"/>
      <c r="T94" s="98"/>
      <c r="U94" s="98"/>
      <c r="V94" s="99"/>
      <c r="W94" s="100" t="str">
        <f aca="false">IF(COUNT(H94:L94)&lt;Instruções!$B$5,"",AVERAGE(H94:L94)/Instruções!$B$6-Instruções!$B$7)</f>
        <v/>
      </c>
      <c r="X94" s="101" t="str">
        <f aca="false">IF(COUNT(M94:Q94)&lt;Instruções!$B$5,"",AVERAGE(M94:Q94)/Instruções!$B$6-Instruções!$B$7)</f>
        <v/>
      </c>
      <c r="Y94" s="101" t="str">
        <f aca="false">IF(COUNT(R94:V94)&lt;Instruções!$B$5,"",AVERAGE(R94:V94)/Instruções!$B$6-Instruções!$B$7)</f>
        <v/>
      </c>
      <c r="Z94" s="102" t="str">
        <f aca="false">IF(OR(W94="",X94="",Y94=""),"",AVERAGE(W94:Y94))</f>
        <v/>
      </c>
      <c r="AA94" s="103" t="str">
        <f aca="false">IF(Z94="","",IF(Z94&gt;=Instruções!$B$8,"Manter",IF(Z94&gt;=Instruções!$B$9,"Revisar","Descartar")))</f>
        <v/>
      </c>
      <c r="AB94" s="104"/>
    </row>
    <row r="95" customFormat="false" ht="37.5" hidden="false" customHeight="true" outlineLevel="0" collapsed="false">
      <c r="A95" s="128" t="s">
        <v>472</v>
      </c>
      <c r="B95" s="92" t="s">
        <v>240</v>
      </c>
      <c r="C95" s="93" t="s">
        <v>467</v>
      </c>
      <c r="D95" s="94" t="s">
        <v>271</v>
      </c>
      <c r="E95" s="95" t="s">
        <v>275</v>
      </c>
      <c r="F95" s="96" t="s">
        <v>473</v>
      </c>
      <c r="H95" s="97"/>
      <c r="I95" s="98"/>
      <c r="J95" s="98"/>
      <c r="K95" s="98"/>
      <c r="L95" s="98"/>
      <c r="M95" s="97"/>
      <c r="N95" s="98"/>
      <c r="O95" s="98"/>
      <c r="P95" s="98"/>
      <c r="Q95" s="98"/>
      <c r="R95" s="97"/>
      <c r="S95" s="98"/>
      <c r="T95" s="98"/>
      <c r="U95" s="98"/>
      <c r="V95" s="99"/>
      <c r="W95" s="100" t="str">
        <f aca="false">IF(COUNT(H95:L95)&lt;Instruções!$B$5,"",AVERAGE(H95:L95)/Instruções!$B$6-Instruções!$B$7)</f>
        <v/>
      </c>
      <c r="X95" s="101" t="str">
        <f aca="false">IF(COUNT(M95:Q95)&lt;Instruções!$B$5,"",AVERAGE(M95:Q95)/Instruções!$B$6-Instruções!$B$7)</f>
        <v/>
      </c>
      <c r="Y95" s="101" t="str">
        <f aca="false">IF(COUNT(R95:V95)&lt;Instruções!$B$5,"",AVERAGE(R95:V95)/Instruções!$B$6-Instruções!$B$7)</f>
        <v/>
      </c>
      <c r="Z95" s="102" t="str">
        <f aca="false">IF(OR(W95="",X95="",Y95=""),"",AVERAGE(W95:Y95))</f>
        <v/>
      </c>
      <c r="AA95" s="103" t="str">
        <f aca="false">IF(Z95="","",IF(Z95&gt;=Instruções!$B$8,"Manter",IF(Z95&gt;=Instruções!$B$9,"Revisar","Descartar")))</f>
        <v/>
      </c>
      <c r="AB95" s="104"/>
    </row>
    <row r="96" customFormat="false" ht="51.75" hidden="false" customHeight="true" outlineLevel="0" collapsed="false">
      <c r="A96" s="128" t="s">
        <v>474</v>
      </c>
      <c r="B96" s="92" t="s">
        <v>240</v>
      </c>
      <c r="C96" s="93" t="s">
        <v>467</v>
      </c>
      <c r="D96" s="94" t="s">
        <v>271</v>
      </c>
      <c r="E96" s="95" t="s">
        <v>350</v>
      </c>
      <c r="F96" s="96" t="s">
        <v>475</v>
      </c>
      <c r="H96" s="97"/>
      <c r="I96" s="98"/>
      <c r="J96" s="98"/>
      <c r="K96" s="98"/>
      <c r="L96" s="98"/>
      <c r="M96" s="97"/>
      <c r="N96" s="98"/>
      <c r="O96" s="98"/>
      <c r="P96" s="98"/>
      <c r="Q96" s="98"/>
      <c r="R96" s="97"/>
      <c r="S96" s="98"/>
      <c r="T96" s="98"/>
      <c r="U96" s="98"/>
      <c r="V96" s="99"/>
      <c r="W96" s="100" t="str">
        <f aca="false">IF(COUNT(H96:L96)&lt;Instruções!$B$5,"",AVERAGE(H96:L96)/Instruções!$B$6-Instruções!$B$7)</f>
        <v/>
      </c>
      <c r="X96" s="101" t="str">
        <f aca="false">IF(COUNT(M96:Q96)&lt;Instruções!$B$5,"",AVERAGE(M96:Q96)/Instruções!$B$6-Instruções!$B$7)</f>
        <v/>
      </c>
      <c r="Y96" s="101" t="str">
        <f aca="false">IF(COUNT(R96:V96)&lt;Instruções!$B$5,"",AVERAGE(R96:V96)/Instruções!$B$6-Instruções!$B$7)</f>
        <v/>
      </c>
      <c r="Z96" s="102" t="str">
        <f aca="false">IF(OR(W96="",X96="",Y96=""),"",AVERAGE(W96:Y96))</f>
        <v/>
      </c>
      <c r="AA96" s="103" t="str">
        <f aca="false">IF(Z96="","",IF(Z96&gt;=Instruções!$B$8,"Manter",IF(Z96&gt;=Instruções!$B$9,"Revisar","Descartar")))</f>
        <v/>
      </c>
      <c r="AB96" s="104"/>
    </row>
    <row r="97" customFormat="false" ht="51.75" hidden="false" customHeight="true" outlineLevel="0" collapsed="false">
      <c r="A97" s="127" t="s">
        <v>476</v>
      </c>
      <c r="B97" s="105" t="s">
        <v>240</v>
      </c>
      <c r="C97" s="106" t="s">
        <v>477</v>
      </c>
      <c r="D97" s="107" t="s">
        <v>118</v>
      </c>
      <c r="E97" s="108" t="s">
        <v>282</v>
      </c>
      <c r="F97" s="109" t="s">
        <v>478</v>
      </c>
      <c r="H97" s="83"/>
      <c r="I97" s="84"/>
      <c r="J97" s="84"/>
      <c r="K97" s="84"/>
      <c r="L97" s="84"/>
      <c r="M97" s="83"/>
      <c r="N97" s="84"/>
      <c r="O97" s="84"/>
      <c r="P97" s="84"/>
      <c r="Q97" s="84"/>
      <c r="R97" s="83"/>
      <c r="S97" s="84"/>
      <c r="T97" s="84"/>
      <c r="U97" s="84"/>
      <c r="V97" s="85"/>
      <c r="W97" s="86" t="str">
        <f aca="false">IF(COUNT(H97:L97)&lt;Instruções!$B$5,"",AVERAGE(H97:L97)/Instruções!$B$6-Instruções!$B$7)</f>
        <v/>
      </c>
      <c r="X97" s="87" t="str">
        <f aca="false">IF(COUNT(M97:Q97)&lt;Instruções!$B$5,"",AVERAGE(M97:Q97)/Instruções!$B$6-Instruções!$B$7)</f>
        <v/>
      </c>
      <c r="Y97" s="87" t="str">
        <f aca="false">IF(COUNT(R97:V97)&lt;Instruções!$B$5,"",AVERAGE(R97:V97)/Instruções!$B$6-Instruções!$B$7)</f>
        <v/>
      </c>
      <c r="Z97" s="88" t="str">
        <f aca="false">IF(OR(W97="",X97="",Y97=""),"",AVERAGE(W97:Y97))</f>
        <v/>
      </c>
      <c r="AA97" s="89" t="str">
        <f aca="false">IF(Z97="","",IF(Z97&gt;=Instruções!$B$8,"Manter",IF(Z97&gt;=Instruções!$B$9,"Revisar","Descartar")))</f>
        <v/>
      </c>
      <c r="AB97" s="110"/>
    </row>
    <row r="98" customFormat="false" ht="51.75" hidden="false" customHeight="true" outlineLevel="0" collapsed="false">
      <c r="A98" s="128" t="s">
        <v>479</v>
      </c>
      <c r="B98" s="111" t="s">
        <v>240</v>
      </c>
      <c r="C98" s="112" t="s">
        <v>477</v>
      </c>
      <c r="D98" s="113" t="s">
        <v>271</v>
      </c>
      <c r="E98" s="114" t="s">
        <v>272</v>
      </c>
      <c r="F98" s="115" t="s">
        <v>480</v>
      </c>
      <c r="H98" s="97"/>
      <c r="I98" s="98"/>
      <c r="J98" s="98"/>
      <c r="K98" s="98"/>
      <c r="L98" s="98"/>
      <c r="M98" s="97"/>
      <c r="N98" s="98"/>
      <c r="O98" s="98"/>
      <c r="P98" s="98"/>
      <c r="Q98" s="98"/>
      <c r="R98" s="97"/>
      <c r="S98" s="98"/>
      <c r="T98" s="98"/>
      <c r="U98" s="98"/>
      <c r="V98" s="99"/>
      <c r="W98" s="100" t="str">
        <f aca="false">IF(COUNT(H98:L98)&lt;Instruções!$B$5,"",AVERAGE(H98:L98)/Instruções!$B$6-Instruções!$B$7)</f>
        <v/>
      </c>
      <c r="X98" s="101" t="str">
        <f aca="false">IF(COUNT(M98:Q98)&lt;Instruções!$B$5,"",AVERAGE(M98:Q98)/Instruções!$B$6-Instruções!$B$7)</f>
        <v/>
      </c>
      <c r="Y98" s="101" t="str">
        <f aca="false">IF(COUNT(R98:V98)&lt;Instruções!$B$5,"",AVERAGE(R98:V98)/Instruções!$B$6-Instruções!$B$7)</f>
        <v/>
      </c>
      <c r="Z98" s="102" t="str">
        <f aca="false">IF(OR(W98="",X98="",Y98=""),"",AVERAGE(W98:Y98))</f>
        <v/>
      </c>
      <c r="AA98" s="103" t="str">
        <f aca="false">IF(Z98="","",IF(Z98&gt;=Instruções!$B$8,"Manter",IF(Z98&gt;=Instruções!$B$9,"Revisar","Descartar")))</f>
        <v/>
      </c>
      <c r="AB98" s="116"/>
    </row>
    <row r="99" customFormat="false" ht="51.75" hidden="false" customHeight="true" outlineLevel="0" collapsed="false">
      <c r="A99" s="128" t="s">
        <v>481</v>
      </c>
      <c r="B99" s="111" t="s">
        <v>240</v>
      </c>
      <c r="C99" s="112" t="s">
        <v>477</v>
      </c>
      <c r="D99" s="113" t="s">
        <v>271</v>
      </c>
      <c r="E99" s="114" t="s">
        <v>275</v>
      </c>
      <c r="F99" s="115" t="s">
        <v>482</v>
      </c>
      <c r="H99" s="97"/>
      <c r="I99" s="98"/>
      <c r="J99" s="98"/>
      <c r="K99" s="98"/>
      <c r="L99" s="98"/>
      <c r="M99" s="97"/>
      <c r="N99" s="98"/>
      <c r="O99" s="98"/>
      <c r="P99" s="98"/>
      <c r="Q99" s="98"/>
      <c r="R99" s="97"/>
      <c r="S99" s="98"/>
      <c r="T99" s="98"/>
      <c r="U99" s="98"/>
      <c r="V99" s="99"/>
      <c r="W99" s="100" t="str">
        <f aca="false">IF(COUNT(H99:L99)&lt;Instruções!$B$5,"",AVERAGE(H99:L99)/Instruções!$B$6-Instruções!$B$7)</f>
        <v/>
      </c>
      <c r="X99" s="101" t="str">
        <f aca="false">IF(COUNT(M99:Q99)&lt;Instruções!$B$5,"",AVERAGE(M99:Q99)/Instruções!$B$6-Instruções!$B$7)</f>
        <v/>
      </c>
      <c r="Y99" s="101" t="str">
        <f aca="false">IF(COUNT(R99:V99)&lt;Instruções!$B$5,"",AVERAGE(R99:V99)/Instruções!$B$6-Instruções!$B$7)</f>
        <v/>
      </c>
      <c r="Z99" s="102" t="str">
        <f aca="false">IF(OR(W99="",X99="",Y99=""),"",AVERAGE(W99:Y99))</f>
        <v/>
      </c>
      <c r="AA99" s="103" t="str">
        <f aca="false">IF(Z99="","",IF(Z99&gt;=Instruções!$B$8,"Manter",IF(Z99&gt;=Instruções!$B$9,"Revisar","Descartar")))</f>
        <v/>
      </c>
      <c r="AB99" s="116"/>
    </row>
    <row r="100" customFormat="false" ht="51.75" hidden="false" customHeight="true" outlineLevel="0" collapsed="false">
      <c r="A100" s="127" t="s">
        <v>483</v>
      </c>
      <c r="B100" s="78" t="s">
        <v>240</v>
      </c>
      <c r="C100" s="79" t="s">
        <v>484</v>
      </c>
      <c r="D100" s="80" t="s">
        <v>118</v>
      </c>
      <c r="E100" s="81" t="s">
        <v>268</v>
      </c>
      <c r="F100" s="82" t="s">
        <v>485</v>
      </c>
      <c r="H100" s="83"/>
      <c r="I100" s="84"/>
      <c r="J100" s="84"/>
      <c r="K100" s="84"/>
      <c r="L100" s="84"/>
      <c r="M100" s="83"/>
      <c r="N100" s="84"/>
      <c r="O100" s="84"/>
      <c r="P100" s="84"/>
      <c r="Q100" s="84"/>
      <c r="R100" s="83"/>
      <c r="S100" s="84"/>
      <c r="T100" s="84"/>
      <c r="U100" s="84"/>
      <c r="V100" s="85"/>
      <c r="W100" s="86" t="str">
        <f aca="false">IF(COUNT(H100:L100)&lt;Instruções!$B$5,"",AVERAGE(H100:L100)/Instruções!$B$6-Instruções!$B$7)</f>
        <v/>
      </c>
      <c r="X100" s="87" t="str">
        <f aca="false">IF(COUNT(M100:Q100)&lt;Instruções!$B$5,"",AVERAGE(M100:Q100)/Instruções!$B$6-Instruções!$B$7)</f>
        <v/>
      </c>
      <c r="Y100" s="87" t="str">
        <f aca="false">IF(COUNT(R100:V100)&lt;Instruções!$B$5,"",AVERAGE(R100:V100)/Instruções!$B$6-Instruções!$B$7)</f>
        <v/>
      </c>
      <c r="Z100" s="88" t="str">
        <f aca="false">IF(OR(W100="",X100="",Y100=""),"",AVERAGE(W100:Y100))</f>
        <v/>
      </c>
      <c r="AA100" s="89" t="str">
        <f aca="false">IF(Z100="","",IF(Z100&gt;=Instruções!$B$8,"Manter",IF(Z100&gt;=Instruções!$B$9,"Revisar","Descartar")))</f>
        <v/>
      </c>
      <c r="AB100" s="90"/>
    </row>
    <row r="101" customFormat="false" ht="51.75" hidden="false" customHeight="true" outlineLevel="0" collapsed="false">
      <c r="A101" s="128" t="s">
        <v>486</v>
      </c>
      <c r="B101" s="92" t="s">
        <v>240</v>
      </c>
      <c r="C101" s="93" t="s">
        <v>484</v>
      </c>
      <c r="D101" s="94" t="s">
        <v>271</v>
      </c>
      <c r="E101" s="95" t="s">
        <v>272</v>
      </c>
      <c r="F101" s="96" t="s">
        <v>487</v>
      </c>
      <c r="H101" s="97"/>
      <c r="I101" s="98"/>
      <c r="J101" s="98"/>
      <c r="K101" s="98"/>
      <c r="L101" s="98"/>
      <c r="M101" s="97"/>
      <c r="N101" s="98"/>
      <c r="O101" s="98"/>
      <c r="P101" s="98"/>
      <c r="Q101" s="98"/>
      <c r="R101" s="97"/>
      <c r="S101" s="98"/>
      <c r="T101" s="98"/>
      <c r="U101" s="98"/>
      <c r="V101" s="99"/>
      <c r="W101" s="100" t="str">
        <f aca="false">IF(COUNT(H101:L101)&lt;Instruções!$B$5,"",AVERAGE(H101:L101)/Instruções!$B$6-Instruções!$B$7)</f>
        <v/>
      </c>
      <c r="X101" s="101" t="str">
        <f aca="false">IF(COUNT(M101:Q101)&lt;Instruções!$B$5,"",AVERAGE(M101:Q101)/Instruções!$B$6-Instruções!$B$7)</f>
        <v/>
      </c>
      <c r="Y101" s="101" t="str">
        <f aca="false">IF(COUNT(R101:V101)&lt;Instruções!$B$5,"",AVERAGE(R101:V101)/Instruções!$B$6-Instruções!$B$7)</f>
        <v/>
      </c>
      <c r="Z101" s="102" t="str">
        <f aca="false">IF(OR(W101="",X101="",Y101=""),"",AVERAGE(W101:Y101))</f>
        <v/>
      </c>
      <c r="AA101" s="103" t="str">
        <f aca="false">IF(Z101="","",IF(Z101&gt;=Instruções!$B$8,"Manter",IF(Z101&gt;=Instruções!$B$9,"Revisar","Descartar")))</f>
        <v/>
      </c>
      <c r="AB101" s="104"/>
    </row>
    <row r="102" customFormat="false" ht="37.5" hidden="false" customHeight="true" outlineLevel="0" collapsed="false">
      <c r="A102" s="128" t="s">
        <v>488</v>
      </c>
      <c r="B102" s="92" t="s">
        <v>240</v>
      </c>
      <c r="C102" s="93" t="s">
        <v>484</v>
      </c>
      <c r="D102" s="94" t="s">
        <v>271</v>
      </c>
      <c r="E102" s="95" t="s">
        <v>275</v>
      </c>
      <c r="F102" s="96" t="s">
        <v>489</v>
      </c>
      <c r="H102" s="97"/>
      <c r="I102" s="98"/>
      <c r="J102" s="98"/>
      <c r="K102" s="98"/>
      <c r="L102" s="98"/>
      <c r="M102" s="97"/>
      <c r="N102" s="98"/>
      <c r="O102" s="98"/>
      <c r="P102" s="98"/>
      <c r="Q102" s="98"/>
      <c r="R102" s="97"/>
      <c r="S102" s="98"/>
      <c r="T102" s="98"/>
      <c r="U102" s="98"/>
      <c r="V102" s="99"/>
      <c r="W102" s="100" t="str">
        <f aca="false">IF(COUNT(H102:L102)&lt;Instruções!$B$5,"",AVERAGE(H102:L102)/Instruções!$B$6-Instruções!$B$7)</f>
        <v/>
      </c>
      <c r="X102" s="101" t="str">
        <f aca="false">IF(COUNT(M102:Q102)&lt;Instruções!$B$5,"",AVERAGE(M102:Q102)/Instruções!$B$6-Instruções!$B$7)</f>
        <v/>
      </c>
      <c r="Y102" s="101" t="str">
        <f aca="false">IF(COUNT(R102:V102)&lt;Instruções!$B$5,"",AVERAGE(R102:V102)/Instruções!$B$6-Instruções!$B$7)</f>
        <v/>
      </c>
      <c r="Z102" s="102" t="str">
        <f aca="false">IF(OR(W102="",X102="",Y102=""),"",AVERAGE(W102:Y102))</f>
        <v/>
      </c>
      <c r="AA102" s="103" t="str">
        <f aca="false">IF(Z102="","",IF(Z102&gt;=Instruções!$B$8,"Manter",IF(Z102&gt;=Instruções!$B$9,"Revisar","Descartar")))</f>
        <v/>
      </c>
      <c r="AB102" s="104"/>
    </row>
    <row r="103" customFormat="false" ht="51.75" hidden="false" customHeight="true" outlineLevel="0" collapsed="false">
      <c r="A103" s="128" t="s">
        <v>490</v>
      </c>
      <c r="B103" s="92" t="s">
        <v>240</v>
      </c>
      <c r="C103" s="93" t="s">
        <v>484</v>
      </c>
      <c r="D103" s="94" t="s">
        <v>271</v>
      </c>
      <c r="E103" s="95" t="s">
        <v>278</v>
      </c>
      <c r="F103" s="96" t="s">
        <v>491</v>
      </c>
      <c r="H103" s="97"/>
      <c r="I103" s="98"/>
      <c r="J103" s="98"/>
      <c r="K103" s="98"/>
      <c r="L103" s="98"/>
      <c r="M103" s="97"/>
      <c r="N103" s="98"/>
      <c r="O103" s="98"/>
      <c r="P103" s="98"/>
      <c r="Q103" s="98"/>
      <c r="R103" s="97"/>
      <c r="S103" s="98"/>
      <c r="T103" s="98"/>
      <c r="U103" s="98"/>
      <c r="V103" s="99"/>
      <c r="W103" s="100" t="str">
        <f aca="false">IF(COUNT(H103:L103)&lt;Instruções!$B$5,"",AVERAGE(H103:L103)/Instruções!$B$6-Instruções!$B$7)</f>
        <v/>
      </c>
      <c r="X103" s="101" t="str">
        <f aca="false">IF(COUNT(M103:Q103)&lt;Instruções!$B$5,"",AVERAGE(M103:Q103)/Instruções!$B$6-Instruções!$B$7)</f>
        <v/>
      </c>
      <c r="Y103" s="101" t="str">
        <f aca="false">IF(COUNT(R103:V103)&lt;Instruções!$B$5,"",AVERAGE(R103:V103)/Instruções!$B$6-Instruções!$B$7)</f>
        <v/>
      </c>
      <c r="Z103" s="102" t="str">
        <f aca="false">IF(OR(W103="",X103="",Y103=""),"",AVERAGE(W103:Y103))</f>
        <v/>
      </c>
      <c r="AA103" s="103" t="str">
        <f aca="false">IF(Z103="","",IF(Z103&gt;=Instruções!$B$8,"Manter",IF(Z103&gt;=Instruções!$B$9,"Revisar","Descartar")))</f>
        <v/>
      </c>
      <c r="AB103" s="104"/>
    </row>
    <row r="104" customFormat="false" ht="37.5" hidden="false" customHeight="true" outlineLevel="0" collapsed="false">
      <c r="A104" s="127" t="s">
        <v>492</v>
      </c>
      <c r="B104" s="105" t="s">
        <v>240</v>
      </c>
      <c r="C104" s="106" t="s">
        <v>325</v>
      </c>
      <c r="D104" s="107" t="s">
        <v>326</v>
      </c>
      <c r="E104" s="108" t="s">
        <v>327</v>
      </c>
      <c r="F104" s="109" t="s">
        <v>493</v>
      </c>
      <c r="H104" s="83"/>
      <c r="I104" s="84"/>
      <c r="J104" s="84"/>
      <c r="K104" s="84"/>
      <c r="L104" s="84"/>
      <c r="M104" s="83"/>
      <c r="N104" s="84"/>
      <c r="O104" s="84"/>
      <c r="P104" s="84"/>
      <c r="Q104" s="84"/>
      <c r="R104" s="83"/>
      <c r="S104" s="84"/>
      <c r="T104" s="84"/>
      <c r="U104" s="84"/>
      <c r="V104" s="85"/>
      <c r="W104" s="86" t="str">
        <f aca="false">IF(COUNT(H104:L104)&lt;Instruções!$B$5,"",AVERAGE(H104:L104)/Instruções!$B$6-Instruções!$B$7)</f>
        <v/>
      </c>
      <c r="X104" s="87" t="str">
        <f aca="false">IF(COUNT(M104:Q104)&lt;Instruções!$B$5,"",AVERAGE(M104:Q104)/Instruções!$B$6-Instruções!$B$7)</f>
        <v/>
      </c>
      <c r="Y104" s="87" t="str">
        <f aca="false">IF(COUNT(R104:V104)&lt;Instruções!$B$5,"",AVERAGE(R104:V104)/Instruções!$B$6-Instruções!$B$7)</f>
        <v/>
      </c>
      <c r="Z104" s="88" t="str">
        <f aca="false">IF(OR(W104="",X104="",Y104=""),"",AVERAGE(W104:Y104))</f>
        <v/>
      </c>
      <c r="AA104" s="89" t="str">
        <f aca="false">IF(Z104="","",IF(Z104&gt;=Instruções!$B$8,"Manter",IF(Z104&gt;=Instruções!$B$9,"Revisar","Descartar")))</f>
        <v/>
      </c>
      <c r="AB104" s="110"/>
    </row>
    <row r="105" customFormat="false" ht="37.5" hidden="false" customHeight="true" outlineLevel="0" collapsed="false">
      <c r="A105" s="127" t="s">
        <v>494</v>
      </c>
      <c r="B105" s="78" t="s">
        <v>240</v>
      </c>
      <c r="C105" s="79" t="s">
        <v>325</v>
      </c>
      <c r="D105" s="80" t="s">
        <v>326</v>
      </c>
      <c r="E105" s="81" t="s">
        <v>327</v>
      </c>
      <c r="F105" s="82" t="s">
        <v>495</v>
      </c>
      <c r="H105" s="83"/>
      <c r="I105" s="84"/>
      <c r="J105" s="84"/>
      <c r="K105" s="84"/>
      <c r="L105" s="84"/>
      <c r="M105" s="83"/>
      <c r="N105" s="84"/>
      <c r="O105" s="84"/>
      <c r="P105" s="84"/>
      <c r="Q105" s="84"/>
      <c r="R105" s="83"/>
      <c r="S105" s="84"/>
      <c r="T105" s="84"/>
      <c r="U105" s="84"/>
      <c r="V105" s="85"/>
      <c r="W105" s="86" t="str">
        <f aca="false">IF(COUNT(H105:L105)&lt;Instruções!$B$5,"",AVERAGE(H105:L105)/Instruções!$B$6-Instruções!$B$7)</f>
        <v/>
      </c>
      <c r="X105" s="87" t="str">
        <f aca="false">IF(COUNT(M105:Q105)&lt;Instruções!$B$5,"",AVERAGE(M105:Q105)/Instruções!$B$6-Instruções!$B$7)</f>
        <v/>
      </c>
      <c r="Y105" s="87" t="str">
        <f aca="false">IF(COUNT(R105:V105)&lt;Instruções!$B$5,"",AVERAGE(R105:V105)/Instruções!$B$6-Instruções!$B$7)</f>
        <v/>
      </c>
      <c r="Z105" s="88" t="str">
        <f aca="false">IF(OR(W105="",X105="",Y105=""),"",AVERAGE(W105:Y105))</f>
        <v/>
      </c>
      <c r="AA105" s="89" t="str">
        <f aca="false">IF(Z105="","",IF(Z105&gt;=Instruções!$B$8,"Manter",IF(Z105&gt;=Instruções!$B$9,"Revisar","Descartar")))</f>
        <v/>
      </c>
      <c r="AB105" s="90"/>
    </row>
    <row r="106" customFormat="false" ht="51.75" hidden="false" customHeight="true" outlineLevel="0" collapsed="false">
      <c r="A106" s="127" t="s">
        <v>496</v>
      </c>
      <c r="B106" s="105" t="s">
        <v>240</v>
      </c>
      <c r="C106" s="106" t="s">
        <v>325</v>
      </c>
      <c r="D106" s="107" t="s">
        <v>326</v>
      </c>
      <c r="E106" s="108" t="s">
        <v>327</v>
      </c>
      <c r="F106" s="109" t="s">
        <v>497</v>
      </c>
      <c r="H106" s="83"/>
      <c r="I106" s="84"/>
      <c r="J106" s="84"/>
      <c r="K106" s="84"/>
      <c r="L106" s="84"/>
      <c r="M106" s="83"/>
      <c r="N106" s="84"/>
      <c r="O106" s="84"/>
      <c r="P106" s="84"/>
      <c r="Q106" s="84"/>
      <c r="R106" s="83"/>
      <c r="S106" s="84"/>
      <c r="T106" s="84"/>
      <c r="U106" s="84"/>
      <c r="V106" s="85"/>
      <c r="W106" s="86" t="str">
        <f aca="false">IF(COUNT(H106:L106)&lt;Instruções!$B$5,"",AVERAGE(H106:L106)/Instruções!$B$6-Instruções!$B$7)</f>
        <v/>
      </c>
      <c r="X106" s="87" t="str">
        <f aca="false">IF(COUNT(M106:Q106)&lt;Instruções!$B$5,"",AVERAGE(M106:Q106)/Instruções!$B$6-Instruções!$B$7)</f>
        <v/>
      </c>
      <c r="Y106" s="87" t="str">
        <f aca="false">IF(COUNT(R106:V106)&lt;Instruções!$B$5,"",AVERAGE(R106:V106)/Instruções!$B$6-Instruções!$B$7)</f>
        <v/>
      </c>
      <c r="Z106" s="88" t="str">
        <f aca="false">IF(OR(W106="",X106="",Y106=""),"",AVERAGE(W106:Y106))</f>
        <v/>
      </c>
      <c r="AA106" s="89" t="str">
        <f aca="false">IF(Z106="","",IF(Z106&gt;=Instruções!$B$8,"Manter",IF(Z106&gt;=Instruções!$B$9,"Revisar","Descartar")))</f>
        <v/>
      </c>
      <c r="AB106" s="110"/>
    </row>
    <row r="107" customFormat="false" ht="51.75" hidden="false" customHeight="true" outlineLevel="0" collapsed="false">
      <c r="A107" s="127" t="s">
        <v>498</v>
      </c>
      <c r="B107" s="78" t="s">
        <v>240</v>
      </c>
      <c r="C107" s="79" t="s">
        <v>325</v>
      </c>
      <c r="D107" s="80" t="s">
        <v>326</v>
      </c>
      <c r="E107" s="81" t="s">
        <v>272</v>
      </c>
      <c r="F107" s="82" t="s">
        <v>499</v>
      </c>
      <c r="H107" s="83"/>
      <c r="I107" s="84"/>
      <c r="J107" s="84"/>
      <c r="K107" s="84"/>
      <c r="L107" s="84"/>
      <c r="M107" s="83"/>
      <c r="N107" s="84"/>
      <c r="O107" s="84"/>
      <c r="P107" s="84"/>
      <c r="Q107" s="84"/>
      <c r="R107" s="83"/>
      <c r="S107" s="84"/>
      <c r="T107" s="84"/>
      <c r="U107" s="84"/>
      <c r="V107" s="85"/>
      <c r="W107" s="86" t="str">
        <f aca="false">IF(COUNT(H107:L107)&lt;Instruções!$B$5,"",AVERAGE(H107:L107)/Instruções!$B$6-Instruções!$B$7)</f>
        <v/>
      </c>
      <c r="X107" s="87" t="str">
        <f aca="false">IF(COUNT(M107:Q107)&lt;Instruções!$B$5,"",AVERAGE(M107:Q107)/Instruções!$B$6-Instruções!$B$7)</f>
        <v/>
      </c>
      <c r="Y107" s="87" t="str">
        <f aca="false">IF(COUNT(R107:V107)&lt;Instruções!$B$5,"",AVERAGE(R107:V107)/Instruções!$B$6-Instruções!$B$7)</f>
        <v/>
      </c>
      <c r="Z107" s="88" t="str">
        <f aca="false">IF(OR(W107="",X107="",Y107=""),"",AVERAGE(W107:Y107))</f>
        <v/>
      </c>
      <c r="AA107" s="89" t="str">
        <f aca="false">IF(Z107="","",IF(Z107&gt;=Instruções!$B$8,"Manter",IF(Z107&gt;=Instruções!$B$9,"Revisar","Descartar")))</f>
        <v/>
      </c>
      <c r="AB107" s="90"/>
    </row>
    <row r="108" customFormat="false" ht="51.75" hidden="false" customHeight="true" outlineLevel="0" collapsed="false">
      <c r="A108" s="127" t="s">
        <v>500</v>
      </c>
      <c r="B108" s="105" t="s">
        <v>240</v>
      </c>
      <c r="C108" s="106" t="s">
        <v>325</v>
      </c>
      <c r="D108" s="107" t="s">
        <v>326</v>
      </c>
      <c r="E108" s="108" t="s">
        <v>272</v>
      </c>
      <c r="F108" s="109" t="s">
        <v>501</v>
      </c>
      <c r="H108" s="83"/>
      <c r="I108" s="84"/>
      <c r="J108" s="84"/>
      <c r="K108" s="84"/>
      <c r="L108" s="84"/>
      <c r="M108" s="83"/>
      <c r="N108" s="84"/>
      <c r="O108" s="84"/>
      <c r="P108" s="84"/>
      <c r="Q108" s="84"/>
      <c r="R108" s="83"/>
      <c r="S108" s="84"/>
      <c r="T108" s="84"/>
      <c r="U108" s="84"/>
      <c r="V108" s="85"/>
      <c r="W108" s="86" t="str">
        <f aca="false">IF(COUNT(H108:L108)&lt;Instruções!$B$5,"",AVERAGE(H108:L108)/Instruções!$B$6-Instruções!$B$7)</f>
        <v/>
      </c>
      <c r="X108" s="87" t="str">
        <f aca="false">IF(COUNT(M108:Q108)&lt;Instruções!$B$5,"",AVERAGE(M108:Q108)/Instruções!$B$6-Instruções!$B$7)</f>
        <v/>
      </c>
      <c r="Y108" s="87" t="str">
        <f aca="false">IF(COUNT(R108:V108)&lt;Instruções!$B$5,"",AVERAGE(R108:V108)/Instruções!$B$6-Instruções!$B$7)</f>
        <v/>
      </c>
      <c r="Z108" s="88" t="str">
        <f aca="false">IF(OR(W108="",X108="",Y108=""),"",AVERAGE(W108:Y108))</f>
        <v/>
      </c>
      <c r="AA108" s="89" t="str">
        <f aca="false">IF(Z108="","",IF(Z108&gt;=Instruções!$B$8,"Manter",IF(Z108&gt;=Instruções!$B$9,"Revisar","Descartar")))</f>
        <v/>
      </c>
      <c r="AB108" s="110"/>
    </row>
    <row r="109" customFormat="false" ht="37.5" hidden="false" customHeight="true" outlineLevel="0" collapsed="false">
      <c r="A109" s="127" t="s">
        <v>502</v>
      </c>
      <c r="B109" s="78" t="s">
        <v>240</v>
      </c>
      <c r="C109" s="79" t="s">
        <v>325</v>
      </c>
      <c r="D109" s="80" t="s">
        <v>326</v>
      </c>
      <c r="E109" s="81" t="s">
        <v>275</v>
      </c>
      <c r="F109" s="82" t="s">
        <v>503</v>
      </c>
      <c r="H109" s="83"/>
      <c r="I109" s="84"/>
      <c r="J109" s="84"/>
      <c r="K109" s="84"/>
      <c r="L109" s="84"/>
      <c r="M109" s="83"/>
      <c r="N109" s="84"/>
      <c r="O109" s="84"/>
      <c r="P109" s="84"/>
      <c r="Q109" s="84"/>
      <c r="R109" s="83"/>
      <c r="S109" s="84"/>
      <c r="T109" s="84"/>
      <c r="U109" s="84"/>
      <c r="V109" s="85"/>
      <c r="W109" s="86" t="str">
        <f aca="false">IF(COUNT(H109:L109)&lt;Instruções!$B$5,"",AVERAGE(H109:L109)/Instruções!$B$6-Instruções!$B$7)</f>
        <v/>
      </c>
      <c r="X109" s="87" t="str">
        <f aca="false">IF(COUNT(M109:Q109)&lt;Instruções!$B$5,"",AVERAGE(M109:Q109)/Instruções!$B$6-Instruções!$B$7)</f>
        <v/>
      </c>
      <c r="Y109" s="87" t="str">
        <f aca="false">IF(COUNT(R109:V109)&lt;Instruções!$B$5,"",AVERAGE(R109:V109)/Instruções!$B$6-Instruções!$B$7)</f>
        <v/>
      </c>
      <c r="Z109" s="88" t="str">
        <f aca="false">IF(OR(W109="",X109="",Y109=""),"",AVERAGE(W109:Y109))</f>
        <v/>
      </c>
      <c r="AA109" s="89" t="str">
        <f aca="false">IF(Z109="","",IF(Z109&gt;=Instruções!$B$8,"Manter",IF(Z109&gt;=Instruções!$B$9,"Revisar","Descartar")))</f>
        <v/>
      </c>
      <c r="AB109" s="90"/>
    </row>
    <row r="110" customFormat="false" ht="37.5" hidden="false" customHeight="true" outlineLevel="0" collapsed="false">
      <c r="A110" s="127" t="s">
        <v>504</v>
      </c>
      <c r="B110" s="105" t="s">
        <v>240</v>
      </c>
      <c r="C110" s="106" t="s">
        <v>325</v>
      </c>
      <c r="D110" s="107" t="s">
        <v>326</v>
      </c>
      <c r="E110" s="108" t="s">
        <v>275</v>
      </c>
      <c r="F110" s="109" t="s">
        <v>505</v>
      </c>
      <c r="H110" s="83"/>
      <c r="I110" s="84"/>
      <c r="J110" s="84"/>
      <c r="K110" s="84"/>
      <c r="L110" s="84"/>
      <c r="M110" s="83"/>
      <c r="N110" s="84"/>
      <c r="O110" s="84"/>
      <c r="P110" s="84"/>
      <c r="Q110" s="84"/>
      <c r="R110" s="83"/>
      <c r="S110" s="84"/>
      <c r="T110" s="84"/>
      <c r="U110" s="84"/>
      <c r="V110" s="85"/>
      <c r="W110" s="86" t="str">
        <f aca="false">IF(COUNT(H110:L110)&lt;Instruções!$B$5,"",AVERAGE(H110:L110)/Instruções!$B$6-Instruções!$B$7)</f>
        <v/>
      </c>
      <c r="X110" s="87" t="str">
        <f aca="false">IF(COUNT(M110:Q110)&lt;Instruções!$B$5,"",AVERAGE(M110:Q110)/Instruções!$B$6-Instruções!$B$7)</f>
        <v/>
      </c>
      <c r="Y110" s="87" t="str">
        <f aca="false">IF(COUNT(R110:V110)&lt;Instruções!$B$5,"",AVERAGE(R110:V110)/Instruções!$B$6-Instruções!$B$7)</f>
        <v/>
      </c>
      <c r="Z110" s="88" t="str">
        <f aca="false">IF(OR(W110="",X110="",Y110=""),"",AVERAGE(W110:Y110))</f>
        <v/>
      </c>
      <c r="AA110" s="89" t="str">
        <f aca="false">IF(Z110="","",IF(Z110&gt;=Instruções!$B$8,"Manter",IF(Z110&gt;=Instruções!$B$9,"Revisar","Descartar")))</f>
        <v/>
      </c>
      <c r="AB110" s="110"/>
    </row>
    <row r="111" customFormat="false" ht="37.5" hidden="false" customHeight="true" outlineLevel="0" collapsed="false">
      <c r="A111" s="127" t="s">
        <v>506</v>
      </c>
      <c r="B111" s="78" t="s">
        <v>240</v>
      </c>
      <c r="C111" s="79" t="s">
        <v>325</v>
      </c>
      <c r="D111" s="80" t="s">
        <v>326</v>
      </c>
      <c r="E111" s="81" t="s">
        <v>275</v>
      </c>
      <c r="F111" s="82" t="s">
        <v>507</v>
      </c>
      <c r="H111" s="83"/>
      <c r="I111" s="84"/>
      <c r="J111" s="84"/>
      <c r="K111" s="84"/>
      <c r="L111" s="84"/>
      <c r="M111" s="83"/>
      <c r="N111" s="84"/>
      <c r="O111" s="84"/>
      <c r="P111" s="84"/>
      <c r="Q111" s="84"/>
      <c r="R111" s="83"/>
      <c r="S111" s="84"/>
      <c r="T111" s="84"/>
      <c r="U111" s="84"/>
      <c r="V111" s="85"/>
      <c r="W111" s="86" t="str">
        <f aca="false">IF(COUNT(H111:L111)&lt;Instruções!$B$5,"",AVERAGE(H111:L111)/Instruções!$B$6-Instruções!$B$7)</f>
        <v/>
      </c>
      <c r="X111" s="87" t="str">
        <f aca="false">IF(COUNT(M111:Q111)&lt;Instruções!$B$5,"",AVERAGE(M111:Q111)/Instruções!$B$6-Instruções!$B$7)</f>
        <v/>
      </c>
      <c r="Y111" s="87" t="str">
        <f aca="false">IF(COUNT(R111:V111)&lt;Instruções!$B$5,"",AVERAGE(R111:V111)/Instruções!$B$6-Instruções!$B$7)</f>
        <v/>
      </c>
      <c r="Z111" s="88" t="str">
        <f aca="false">IF(OR(W111="",X111="",Y111=""),"",AVERAGE(W111:Y111))</f>
        <v/>
      </c>
      <c r="AA111" s="89" t="str">
        <f aca="false">IF(Z111="","",IF(Z111&gt;=Instruções!$B$8,"Manter",IF(Z111&gt;=Instruções!$B$9,"Revisar","Descartar")))</f>
        <v/>
      </c>
      <c r="AB111" s="90"/>
    </row>
    <row r="112" customFormat="false" ht="37.5" hidden="false" customHeight="true" outlineLevel="0" collapsed="false">
      <c r="A112" s="127" t="s">
        <v>508</v>
      </c>
      <c r="B112" s="105" t="s">
        <v>240</v>
      </c>
      <c r="C112" s="106" t="s">
        <v>325</v>
      </c>
      <c r="D112" s="107" t="s">
        <v>326</v>
      </c>
      <c r="E112" s="108" t="s">
        <v>278</v>
      </c>
      <c r="F112" s="109" t="s">
        <v>509</v>
      </c>
      <c r="H112" s="83"/>
      <c r="I112" s="84"/>
      <c r="J112" s="84"/>
      <c r="K112" s="84"/>
      <c r="L112" s="84"/>
      <c r="M112" s="83"/>
      <c r="N112" s="84"/>
      <c r="O112" s="84"/>
      <c r="P112" s="84"/>
      <c r="Q112" s="84"/>
      <c r="R112" s="83"/>
      <c r="S112" s="84"/>
      <c r="T112" s="84"/>
      <c r="U112" s="84"/>
      <c r="V112" s="85"/>
      <c r="W112" s="86" t="str">
        <f aca="false">IF(COUNT(H112:L112)&lt;Instruções!$B$5,"",AVERAGE(H112:L112)/Instruções!$B$6-Instruções!$B$7)</f>
        <v/>
      </c>
      <c r="X112" s="87" t="str">
        <f aca="false">IF(COUNT(M112:Q112)&lt;Instruções!$B$5,"",AVERAGE(M112:Q112)/Instruções!$B$6-Instruções!$B$7)</f>
        <v/>
      </c>
      <c r="Y112" s="87" t="str">
        <f aca="false">IF(COUNT(R112:V112)&lt;Instruções!$B$5,"",AVERAGE(R112:V112)/Instruções!$B$6-Instruções!$B$7)</f>
        <v/>
      </c>
      <c r="Z112" s="88" t="str">
        <f aca="false">IF(OR(W112="",X112="",Y112=""),"",AVERAGE(W112:Y112))</f>
        <v/>
      </c>
      <c r="AA112" s="89" t="str">
        <f aca="false">IF(Z112="","",IF(Z112&gt;=Instruções!$B$8,"Manter",IF(Z112&gt;=Instruções!$B$9,"Revisar","Descartar")))</f>
        <v/>
      </c>
      <c r="AB112" s="110"/>
    </row>
    <row r="113" customFormat="false" ht="37.5" hidden="false" customHeight="true" outlineLevel="0" collapsed="false">
      <c r="A113" s="127" t="s">
        <v>510</v>
      </c>
      <c r="B113" s="78" t="s">
        <v>240</v>
      </c>
      <c r="C113" s="79" t="s">
        <v>325</v>
      </c>
      <c r="D113" s="80" t="s">
        <v>326</v>
      </c>
      <c r="E113" s="81" t="s">
        <v>278</v>
      </c>
      <c r="F113" s="82" t="s">
        <v>511</v>
      </c>
      <c r="H113" s="83"/>
      <c r="I113" s="84"/>
      <c r="J113" s="84"/>
      <c r="K113" s="84"/>
      <c r="L113" s="84"/>
      <c r="M113" s="83"/>
      <c r="N113" s="84"/>
      <c r="O113" s="84"/>
      <c r="P113" s="84"/>
      <c r="Q113" s="84"/>
      <c r="R113" s="83"/>
      <c r="S113" s="84"/>
      <c r="T113" s="84"/>
      <c r="U113" s="84"/>
      <c r="V113" s="85"/>
      <c r="W113" s="86" t="str">
        <f aca="false">IF(COUNT(H113:L113)&lt;Instruções!$B$5,"",AVERAGE(H113:L113)/Instruções!$B$6-Instruções!$B$7)</f>
        <v/>
      </c>
      <c r="X113" s="87" t="str">
        <f aca="false">IF(COUNT(M113:Q113)&lt;Instruções!$B$5,"",AVERAGE(M113:Q113)/Instruções!$B$6-Instruções!$B$7)</f>
        <v/>
      </c>
      <c r="Y113" s="87" t="str">
        <f aca="false">IF(COUNT(R113:V113)&lt;Instruções!$B$5,"",AVERAGE(R113:V113)/Instruções!$B$6-Instruções!$B$7)</f>
        <v/>
      </c>
      <c r="Z113" s="88" t="str">
        <f aca="false">IF(OR(W113="",X113="",Y113=""),"",AVERAGE(W113:Y113))</f>
        <v/>
      </c>
      <c r="AA113" s="89" t="str">
        <f aca="false">IF(Z113="","",IF(Z113&gt;=Instruções!$B$8,"Manter",IF(Z113&gt;=Instruções!$B$9,"Revisar","Descartar")))</f>
        <v/>
      </c>
      <c r="AB113" s="90"/>
    </row>
    <row r="114" customFormat="false" ht="37.5" hidden="false" customHeight="true" outlineLevel="0" collapsed="false">
      <c r="A114" s="127" t="s">
        <v>512</v>
      </c>
      <c r="B114" s="105" t="s">
        <v>240</v>
      </c>
      <c r="C114" s="106" t="s">
        <v>325</v>
      </c>
      <c r="D114" s="107" t="s">
        <v>326</v>
      </c>
      <c r="E114" s="108" t="s">
        <v>278</v>
      </c>
      <c r="F114" s="109" t="s">
        <v>513</v>
      </c>
      <c r="H114" s="83"/>
      <c r="I114" s="84"/>
      <c r="J114" s="84"/>
      <c r="K114" s="84"/>
      <c r="L114" s="84"/>
      <c r="M114" s="83"/>
      <c r="N114" s="84"/>
      <c r="O114" s="84"/>
      <c r="P114" s="84"/>
      <c r="Q114" s="84"/>
      <c r="R114" s="83"/>
      <c r="S114" s="84"/>
      <c r="T114" s="84"/>
      <c r="U114" s="84"/>
      <c r="V114" s="85"/>
      <c r="W114" s="86" t="str">
        <f aca="false">IF(COUNT(H114:L114)&lt;Instruções!$B$5,"",AVERAGE(H114:L114)/Instruções!$B$6-Instruções!$B$7)</f>
        <v/>
      </c>
      <c r="X114" s="87" t="str">
        <f aca="false">IF(COUNT(M114:Q114)&lt;Instruções!$B$5,"",AVERAGE(M114:Q114)/Instruções!$B$6-Instruções!$B$7)</f>
        <v/>
      </c>
      <c r="Y114" s="87" t="str">
        <f aca="false">IF(COUNT(R114:V114)&lt;Instruções!$B$5,"",AVERAGE(R114:V114)/Instruções!$B$6-Instruções!$B$7)</f>
        <v/>
      </c>
      <c r="Z114" s="88" t="str">
        <f aca="false">IF(OR(W114="",X114="",Y114=""),"",AVERAGE(W114:Y114))</f>
        <v/>
      </c>
      <c r="AA114" s="89" t="str">
        <f aca="false">IF(Z114="","",IF(Z114&gt;=Instruções!$B$8,"Manter",IF(Z114&gt;=Instruções!$B$9,"Revisar","Descartar")))</f>
        <v/>
      </c>
      <c r="AB114" s="110"/>
    </row>
    <row r="115" customFormat="false" ht="51.75" hidden="false" customHeight="true" outlineLevel="0" collapsed="false">
      <c r="A115" s="127" t="s">
        <v>514</v>
      </c>
      <c r="B115" s="78" t="s">
        <v>240</v>
      </c>
      <c r="C115" s="79" t="s">
        <v>325</v>
      </c>
      <c r="D115" s="80" t="s">
        <v>326</v>
      </c>
      <c r="E115" s="81" t="s">
        <v>350</v>
      </c>
      <c r="F115" s="82" t="s">
        <v>515</v>
      </c>
      <c r="H115" s="83"/>
      <c r="I115" s="84"/>
      <c r="J115" s="84"/>
      <c r="K115" s="84"/>
      <c r="L115" s="84"/>
      <c r="M115" s="83"/>
      <c r="N115" s="84"/>
      <c r="O115" s="84"/>
      <c r="P115" s="84"/>
      <c r="Q115" s="84"/>
      <c r="R115" s="83"/>
      <c r="S115" s="84"/>
      <c r="T115" s="84"/>
      <c r="U115" s="84"/>
      <c r="V115" s="85"/>
      <c r="W115" s="86" t="str">
        <f aca="false">IF(COUNT(H115:L115)&lt;Instruções!$B$5,"",AVERAGE(H115:L115)/Instruções!$B$6-Instruções!$B$7)</f>
        <v/>
      </c>
      <c r="X115" s="87" t="str">
        <f aca="false">IF(COUNT(M115:Q115)&lt;Instruções!$B$5,"",AVERAGE(M115:Q115)/Instruções!$B$6-Instruções!$B$7)</f>
        <v/>
      </c>
      <c r="Y115" s="87" t="str">
        <f aca="false">IF(COUNT(R115:V115)&lt;Instruções!$B$5,"",AVERAGE(R115:V115)/Instruções!$B$6-Instruções!$B$7)</f>
        <v/>
      </c>
      <c r="Z115" s="88" t="str">
        <f aca="false">IF(OR(W115="",X115="",Y115=""),"",AVERAGE(W115:Y115))</f>
        <v/>
      </c>
      <c r="AA115" s="89" t="str">
        <f aca="false">IF(Z115="","",IF(Z115&gt;=Instruções!$B$8,"Manter",IF(Z115&gt;=Instruções!$B$9,"Revisar","Descartar")))</f>
        <v/>
      </c>
      <c r="AB115" s="90"/>
    </row>
    <row r="116" customFormat="false" ht="51.75" hidden="false" customHeight="true" outlineLevel="0" collapsed="false">
      <c r="A116" s="127" t="s">
        <v>516</v>
      </c>
      <c r="B116" s="105" t="s">
        <v>240</v>
      </c>
      <c r="C116" s="106" t="s">
        <v>325</v>
      </c>
      <c r="D116" s="107" t="s">
        <v>326</v>
      </c>
      <c r="E116" s="108" t="s">
        <v>350</v>
      </c>
      <c r="F116" s="109" t="s">
        <v>517</v>
      </c>
      <c r="H116" s="83"/>
      <c r="I116" s="84"/>
      <c r="J116" s="84"/>
      <c r="K116" s="84"/>
      <c r="L116" s="84"/>
      <c r="M116" s="83"/>
      <c r="N116" s="84"/>
      <c r="O116" s="84"/>
      <c r="P116" s="84"/>
      <c r="Q116" s="84"/>
      <c r="R116" s="83"/>
      <c r="S116" s="84"/>
      <c r="T116" s="84"/>
      <c r="U116" s="84"/>
      <c r="V116" s="85"/>
      <c r="W116" s="86" t="str">
        <f aca="false">IF(COUNT(H116:L116)&lt;Instruções!$B$5,"",AVERAGE(H116:L116)/Instruções!$B$6-Instruções!$B$7)</f>
        <v/>
      </c>
      <c r="X116" s="87" t="str">
        <f aca="false">IF(COUNT(M116:Q116)&lt;Instruções!$B$5,"",AVERAGE(M116:Q116)/Instruções!$B$6-Instruções!$B$7)</f>
        <v/>
      </c>
      <c r="Y116" s="87" t="str">
        <f aca="false">IF(COUNT(R116:V116)&lt;Instruções!$B$5,"",AVERAGE(R116:V116)/Instruções!$B$6-Instruções!$B$7)</f>
        <v/>
      </c>
      <c r="Z116" s="88" t="str">
        <f aca="false">IF(OR(W116="",X116="",Y116=""),"",AVERAGE(W116:Y116))</f>
        <v/>
      </c>
      <c r="AA116" s="89" t="str">
        <f aca="false">IF(Z116="","",IF(Z116&gt;=Instruções!$B$8,"Manter",IF(Z116&gt;=Instruções!$B$9,"Revisar","Descartar")))</f>
        <v/>
      </c>
      <c r="AB116" s="110"/>
    </row>
    <row r="117" customFormat="false" ht="37.5" hidden="false" customHeight="true" outlineLevel="0" collapsed="false">
      <c r="A117" s="127" t="s">
        <v>518</v>
      </c>
      <c r="B117" s="78" t="s">
        <v>240</v>
      </c>
      <c r="C117" s="79" t="s">
        <v>325</v>
      </c>
      <c r="D117" s="80" t="s">
        <v>326</v>
      </c>
      <c r="E117" s="81" t="s">
        <v>350</v>
      </c>
      <c r="F117" s="82" t="s">
        <v>519</v>
      </c>
      <c r="H117" s="83"/>
      <c r="I117" s="84"/>
      <c r="J117" s="84"/>
      <c r="K117" s="84"/>
      <c r="L117" s="84"/>
      <c r="M117" s="83"/>
      <c r="N117" s="84"/>
      <c r="O117" s="84"/>
      <c r="P117" s="84"/>
      <c r="Q117" s="84"/>
      <c r="R117" s="83"/>
      <c r="S117" s="84"/>
      <c r="T117" s="84"/>
      <c r="U117" s="84"/>
      <c r="V117" s="85"/>
      <c r="W117" s="86" t="str">
        <f aca="false">IF(COUNT(H117:L117)&lt;Instruções!$B$5,"",AVERAGE(H117:L117)/Instruções!$B$6-Instruções!$B$7)</f>
        <v/>
      </c>
      <c r="X117" s="87" t="str">
        <f aca="false">IF(COUNT(M117:Q117)&lt;Instruções!$B$5,"",AVERAGE(M117:Q117)/Instruções!$B$6-Instruções!$B$7)</f>
        <v/>
      </c>
      <c r="Y117" s="87" t="str">
        <f aca="false">IF(COUNT(R117:V117)&lt;Instruções!$B$5,"",AVERAGE(R117:V117)/Instruções!$B$6-Instruções!$B$7)</f>
        <v/>
      </c>
      <c r="Z117" s="88" t="str">
        <f aca="false">IF(OR(W117="",X117="",Y117=""),"",AVERAGE(W117:Y117))</f>
        <v/>
      </c>
      <c r="AA117" s="89" t="str">
        <f aca="false">IF(Z117="","",IF(Z117&gt;=Instruções!$B$8,"Manter",IF(Z117&gt;=Instruções!$B$9,"Revisar","Descartar")))</f>
        <v/>
      </c>
      <c r="AB117" s="90"/>
    </row>
    <row r="118" customFormat="false" ht="51.75" hidden="false" customHeight="true" outlineLevel="0" collapsed="false">
      <c r="A118" s="129" t="s">
        <v>520</v>
      </c>
      <c r="B118" s="129"/>
      <c r="C118" s="129"/>
      <c r="D118" s="129"/>
      <c r="E118" s="129"/>
      <c r="F118" s="129"/>
      <c r="G118" s="130"/>
      <c r="H118" s="131"/>
      <c r="I118" s="130"/>
      <c r="J118" s="130"/>
      <c r="K118" s="130"/>
      <c r="L118" s="130"/>
      <c r="M118" s="131"/>
      <c r="N118" s="130"/>
      <c r="O118" s="130"/>
      <c r="P118" s="130"/>
      <c r="Q118" s="130"/>
      <c r="R118" s="131"/>
      <c r="S118" s="130"/>
      <c r="T118" s="130"/>
      <c r="U118" s="130"/>
      <c r="V118" s="132"/>
      <c r="W118" s="131"/>
      <c r="X118" s="130"/>
      <c r="Y118" s="130"/>
      <c r="Z118" s="130"/>
      <c r="AA118" s="131"/>
      <c r="AB118" s="131"/>
    </row>
    <row r="119" customFormat="false" ht="37.5" hidden="false" customHeight="true" outlineLevel="0" collapsed="false">
      <c r="A119" s="133" t="s">
        <v>521</v>
      </c>
      <c r="B119" s="78" t="s">
        <v>245</v>
      </c>
      <c r="C119" s="79" t="s">
        <v>522</v>
      </c>
      <c r="D119" s="80" t="s">
        <v>118</v>
      </c>
      <c r="E119" s="81" t="s">
        <v>468</v>
      </c>
      <c r="F119" s="82" t="s">
        <v>523</v>
      </c>
      <c r="H119" s="83"/>
      <c r="I119" s="84"/>
      <c r="J119" s="84"/>
      <c r="K119" s="84"/>
      <c r="L119" s="84"/>
      <c r="M119" s="83"/>
      <c r="N119" s="84"/>
      <c r="O119" s="84"/>
      <c r="P119" s="84"/>
      <c r="Q119" s="84"/>
      <c r="R119" s="83"/>
      <c r="S119" s="84"/>
      <c r="T119" s="84"/>
      <c r="U119" s="84"/>
      <c r="V119" s="85"/>
      <c r="W119" s="86" t="str">
        <f aca="false">IF(COUNT(H119:L119)&lt;Instruções!$B$5,"",AVERAGE(H119:L119)/Instruções!$B$6-Instruções!$B$7)</f>
        <v/>
      </c>
      <c r="X119" s="87" t="str">
        <f aca="false">IF(COUNT(M119:Q119)&lt;Instruções!$B$5,"",AVERAGE(M119:Q119)/Instruções!$B$6-Instruções!$B$7)</f>
        <v/>
      </c>
      <c r="Y119" s="87" t="str">
        <f aca="false">IF(COUNT(R119:V119)&lt;Instruções!$B$5,"",AVERAGE(R119:V119)/Instruções!$B$6-Instruções!$B$7)</f>
        <v/>
      </c>
      <c r="Z119" s="88" t="str">
        <f aca="false">IF(OR(W119="",X119="",Y119=""),"",AVERAGE(W119:Y119))</f>
        <v/>
      </c>
      <c r="AA119" s="89" t="str">
        <f aca="false">IF(Z119="","",IF(Z119&gt;=Instruções!$B$8,"Manter",IF(Z119&gt;=Instruções!$B$9,"Revisar","Descartar")))</f>
        <v/>
      </c>
      <c r="AB119" s="90"/>
    </row>
    <row r="120" customFormat="false" ht="37.5" hidden="false" customHeight="true" outlineLevel="0" collapsed="false">
      <c r="A120" s="134" t="s">
        <v>524</v>
      </c>
      <c r="B120" s="92" t="s">
        <v>245</v>
      </c>
      <c r="C120" s="93" t="s">
        <v>522</v>
      </c>
      <c r="D120" s="94" t="s">
        <v>271</v>
      </c>
      <c r="E120" s="95" t="s">
        <v>272</v>
      </c>
      <c r="F120" s="96" t="s">
        <v>525</v>
      </c>
      <c r="H120" s="97"/>
      <c r="I120" s="98"/>
      <c r="J120" s="98"/>
      <c r="K120" s="98"/>
      <c r="L120" s="98"/>
      <c r="M120" s="97"/>
      <c r="N120" s="98"/>
      <c r="O120" s="98"/>
      <c r="P120" s="98"/>
      <c r="Q120" s="98"/>
      <c r="R120" s="97"/>
      <c r="S120" s="98"/>
      <c r="T120" s="98"/>
      <c r="U120" s="98"/>
      <c r="V120" s="99"/>
      <c r="W120" s="100" t="str">
        <f aca="false">IF(COUNT(H120:L120)&lt;Instruções!$B$5,"",AVERAGE(H120:L120)/Instruções!$B$6-Instruções!$B$7)</f>
        <v/>
      </c>
      <c r="X120" s="101" t="str">
        <f aca="false">IF(COUNT(M120:Q120)&lt;Instruções!$B$5,"",AVERAGE(M120:Q120)/Instruções!$B$6-Instruções!$B$7)</f>
        <v/>
      </c>
      <c r="Y120" s="101" t="str">
        <f aca="false">IF(COUNT(R120:V120)&lt;Instruções!$B$5,"",AVERAGE(R120:V120)/Instruções!$B$6-Instruções!$B$7)</f>
        <v/>
      </c>
      <c r="Z120" s="102" t="str">
        <f aca="false">IF(OR(W120="",X120="",Y120=""),"",AVERAGE(W120:Y120))</f>
        <v/>
      </c>
      <c r="AA120" s="103" t="str">
        <f aca="false">IF(Z120="","",IF(Z120&gt;=Instruções!$B$8,"Manter",IF(Z120&gt;=Instruções!$B$9,"Revisar","Descartar")))</f>
        <v/>
      </c>
      <c r="AB120" s="104"/>
    </row>
    <row r="121" customFormat="false" ht="37.5" hidden="false" customHeight="true" outlineLevel="0" collapsed="false">
      <c r="A121" s="134" t="s">
        <v>526</v>
      </c>
      <c r="B121" s="92" t="s">
        <v>245</v>
      </c>
      <c r="C121" s="93" t="s">
        <v>522</v>
      </c>
      <c r="D121" s="94" t="s">
        <v>271</v>
      </c>
      <c r="E121" s="95" t="s">
        <v>275</v>
      </c>
      <c r="F121" s="96" t="s">
        <v>527</v>
      </c>
      <c r="H121" s="97"/>
      <c r="I121" s="98"/>
      <c r="J121" s="98"/>
      <c r="K121" s="98"/>
      <c r="L121" s="98"/>
      <c r="M121" s="97"/>
      <c r="N121" s="98"/>
      <c r="O121" s="98"/>
      <c r="P121" s="98"/>
      <c r="Q121" s="98"/>
      <c r="R121" s="97"/>
      <c r="S121" s="98"/>
      <c r="T121" s="98"/>
      <c r="U121" s="98"/>
      <c r="V121" s="99"/>
      <c r="W121" s="100" t="str">
        <f aca="false">IF(COUNT(H121:L121)&lt;Instruções!$B$5,"",AVERAGE(H121:L121)/Instruções!$B$6-Instruções!$B$7)</f>
        <v/>
      </c>
      <c r="X121" s="101" t="str">
        <f aca="false">IF(COUNT(M121:Q121)&lt;Instruções!$B$5,"",AVERAGE(M121:Q121)/Instruções!$B$6-Instruções!$B$7)</f>
        <v/>
      </c>
      <c r="Y121" s="101" t="str">
        <f aca="false">IF(COUNT(R121:V121)&lt;Instruções!$B$5,"",AVERAGE(R121:V121)/Instruções!$B$6-Instruções!$B$7)</f>
        <v/>
      </c>
      <c r="Z121" s="102" t="str">
        <f aca="false">IF(OR(W121="",X121="",Y121=""),"",AVERAGE(W121:Y121))</f>
        <v/>
      </c>
      <c r="AA121" s="103" t="str">
        <f aca="false">IF(Z121="","",IF(Z121&gt;=Instruções!$B$8,"Manter",IF(Z121&gt;=Instruções!$B$9,"Revisar","Descartar")))</f>
        <v/>
      </c>
      <c r="AB121" s="104"/>
    </row>
    <row r="122" customFormat="false" ht="37.5" hidden="false" customHeight="true" outlineLevel="0" collapsed="false">
      <c r="A122" s="134" t="s">
        <v>528</v>
      </c>
      <c r="B122" s="92" t="s">
        <v>245</v>
      </c>
      <c r="C122" s="93" t="s">
        <v>522</v>
      </c>
      <c r="D122" s="94" t="s">
        <v>271</v>
      </c>
      <c r="E122" s="95" t="s">
        <v>350</v>
      </c>
      <c r="F122" s="96" t="s">
        <v>529</v>
      </c>
      <c r="H122" s="97"/>
      <c r="I122" s="98"/>
      <c r="J122" s="98"/>
      <c r="K122" s="98"/>
      <c r="L122" s="98"/>
      <c r="M122" s="97"/>
      <c r="N122" s="98"/>
      <c r="O122" s="98"/>
      <c r="P122" s="98"/>
      <c r="Q122" s="98"/>
      <c r="R122" s="97"/>
      <c r="S122" s="98"/>
      <c r="T122" s="98"/>
      <c r="U122" s="98"/>
      <c r="V122" s="99"/>
      <c r="W122" s="100" t="str">
        <f aca="false">IF(COUNT(H122:L122)&lt;Instruções!$B$5,"",AVERAGE(H122:L122)/Instruções!$B$6-Instruções!$B$7)</f>
        <v/>
      </c>
      <c r="X122" s="101" t="str">
        <f aca="false">IF(COUNT(M122:Q122)&lt;Instruções!$B$5,"",AVERAGE(M122:Q122)/Instruções!$B$6-Instruções!$B$7)</f>
        <v/>
      </c>
      <c r="Y122" s="101" t="str">
        <f aca="false">IF(COUNT(R122:V122)&lt;Instruções!$B$5,"",AVERAGE(R122:V122)/Instruções!$B$6-Instruções!$B$7)</f>
        <v/>
      </c>
      <c r="Z122" s="102" t="str">
        <f aca="false">IF(OR(W122="",X122="",Y122=""),"",AVERAGE(W122:Y122))</f>
        <v/>
      </c>
      <c r="AA122" s="103" t="str">
        <f aca="false">IF(Z122="","",IF(Z122&gt;=Instruções!$B$8,"Manter",IF(Z122&gt;=Instruções!$B$9,"Revisar","Descartar")))</f>
        <v/>
      </c>
      <c r="AB122" s="104"/>
    </row>
    <row r="123" customFormat="false" ht="51.75" hidden="false" customHeight="true" outlineLevel="0" collapsed="false">
      <c r="A123" s="133" t="s">
        <v>530</v>
      </c>
      <c r="B123" s="105" t="s">
        <v>245</v>
      </c>
      <c r="C123" s="106" t="s">
        <v>531</v>
      </c>
      <c r="D123" s="107" t="s">
        <v>118</v>
      </c>
      <c r="E123" s="108" t="s">
        <v>327</v>
      </c>
      <c r="F123" s="109" t="s">
        <v>532</v>
      </c>
      <c r="H123" s="83"/>
      <c r="I123" s="84"/>
      <c r="J123" s="84"/>
      <c r="K123" s="84"/>
      <c r="L123" s="84"/>
      <c r="M123" s="83"/>
      <c r="N123" s="84"/>
      <c r="O123" s="84"/>
      <c r="P123" s="84"/>
      <c r="Q123" s="84"/>
      <c r="R123" s="83"/>
      <c r="S123" s="84"/>
      <c r="T123" s="84"/>
      <c r="U123" s="84"/>
      <c r="V123" s="85"/>
      <c r="W123" s="86" t="str">
        <f aca="false">IF(COUNT(H123:L123)&lt;Instruções!$B$5,"",AVERAGE(H123:L123)/Instruções!$B$6-Instruções!$B$7)</f>
        <v/>
      </c>
      <c r="X123" s="87" t="str">
        <f aca="false">IF(COUNT(M123:Q123)&lt;Instruções!$B$5,"",AVERAGE(M123:Q123)/Instruções!$B$6-Instruções!$B$7)</f>
        <v/>
      </c>
      <c r="Y123" s="87" t="str">
        <f aca="false">IF(COUNT(R123:V123)&lt;Instruções!$B$5,"",AVERAGE(R123:V123)/Instruções!$B$6-Instruções!$B$7)</f>
        <v/>
      </c>
      <c r="Z123" s="88" t="str">
        <f aca="false">IF(OR(W123="",X123="",Y123=""),"",AVERAGE(W123:Y123))</f>
        <v/>
      </c>
      <c r="AA123" s="89" t="str">
        <f aca="false">IF(Z123="","",IF(Z123&gt;=Instruções!$B$8,"Manter",IF(Z123&gt;=Instruções!$B$9,"Revisar","Descartar")))</f>
        <v/>
      </c>
      <c r="AB123" s="110"/>
    </row>
    <row r="124" customFormat="false" ht="51.75" hidden="false" customHeight="true" outlineLevel="0" collapsed="false">
      <c r="A124" s="134" t="s">
        <v>533</v>
      </c>
      <c r="B124" s="111" t="s">
        <v>245</v>
      </c>
      <c r="C124" s="112" t="s">
        <v>531</v>
      </c>
      <c r="D124" s="113" t="s">
        <v>271</v>
      </c>
      <c r="E124" s="114" t="s">
        <v>272</v>
      </c>
      <c r="F124" s="115" t="s">
        <v>534</v>
      </c>
      <c r="H124" s="97"/>
      <c r="I124" s="98"/>
      <c r="J124" s="98"/>
      <c r="K124" s="98"/>
      <c r="L124" s="98"/>
      <c r="M124" s="97"/>
      <c r="N124" s="98"/>
      <c r="O124" s="98"/>
      <c r="P124" s="98"/>
      <c r="Q124" s="98"/>
      <c r="R124" s="97"/>
      <c r="S124" s="98"/>
      <c r="T124" s="98"/>
      <c r="U124" s="98"/>
      <c r="V124" s="99"/>
      <c r="W124" s="100" t="str">
        <f aca="false">IF(COUNT(H124:L124)&lt;Instruções!$B$5,"",AVERAGE(H124:L124)/Instruções!$B$6-Instruções!$B$7)</f>
        <v/>
      </c>
      <c r="X124" s="101" t="str">
        <f aca="false">IF(COUNT(M124:Q124)&lt;Instruções!$B$5,"",AVERAGE(M124:Q124)/Instruções!$B$6-Instruções!$B$7)</f>
        <v/>
      </c>
      <c r="Y124" s="101" t="str">
        <f aca="false">IF(COUNT(R124:V124)&lt;Instruções!$B$5,"",AVERAGE(R124:V124)/Instruções!$B$6-Instruções!$B$7)</f>
        <v/>
      </c>
      <c r="Z124" s="102" t="str">
        <f aca="false">IF(OR(W124="",X124="",Y124=""),"",AVERAGE(W124:Y124))</f>
        <v/>
      </c>
      <c r="AA124" s="103" t="str">
        <f aca="false">IF(Z124="","",IF(Z124&gt;=Instruções!$B$8,"Manter",IF(Z124&gt;=Instruções!$B$9,"Revisar","Descartar")))</f>
        <v/>
      </c>
      <c r="AB124" s="116"/>
    </row>
    <row r="125" customFormat="false" ht="51.75" hidden="false" customHeight="true" outlineLevel="0" collapsed="false">
      <c r="A125" s="134" t="s">
        <v>535</v>
      </c>
      <c r="B125" s="111" t="s">
        <v>245</v>
      </c>
      <c r="C125" s="112" t="s">
        <v>531</v>
      </c>
      <c r="D125" s="113" t="s">
        <v>271</v>
      </c>
      <c r="E125" s="114" t="s">
        <v>275</v>
      </c>
      <c r="F125" s="115" t="s">
        <v>536</v>
      </c>
      <c r="H125" s="97"/>
      <c r="I125" s="98"/>
      <c r="J125" s="98"/>
      <c r="K125" s="98"/>
      <c r="L125" s="98"/>
      <c r="M125" s="97"/>
      <c r="N125" s="98"/>
      <c r="O125" s="98"/>
      <c r="P125" s="98"/>
      <c r="Q125" s="98"/>
      <c r="R125" s="97"/>
      <c r="S125" s="98"/>
      <c r="T125" s="98"/>
      <c r="U125" s="98"/>
      <c r="V125" s="99"/>
      <c r="W125" s="100" t="str">
        <f aca="false">IF(COUNT(H125:L125)&lt;Instruções!$B$5,"",AVERAGE(H125:L125)/Instruções!$B$6-Instruções!$B$7)</f>
        <v/>
      </c>
      <c r="X125" s="101" t="str">
        <f aca="false">IF(COUNT(M125:Q125)&lt;Instruções!$B$5,"",AVERAGE(M125:Q125)/Instruções!$B$6-Instruções!$B$7)</f>
        <v/>
      </c>
      <c r="Y125" s="101" t="str">
        <f aca="false">IF(COUNT(R125:V125)&lt;Instruções!$B$5,"",AVERAGE(R125:V125)/Instruções!$B$6-Instruções!$B$7)</f>
        <v/>
      </c>
      <c r="Z125" s="102" t="str">
        <f aca="false">IF(OR(W125="",X125="",Y125=""),"",AVERAGE(W125:Y125))</f>
        <v/>
      </c>
      <c r="AA125" s="103" t="str">
        <f aca="false">IF(Z125="","",IF(Z125&gt;=Instruções!$B$8,"Manter",IF(Z125&gt;=Instruções!$B$9,"Revisar","Descartar")))</f>
        <v/>
      </c>
      <c r="AB125" s="116"/>
    </row>
    <row r="126" customFormat="false" ht="37.5" hidden="false" customHeight="true" outlineLevel="0" collapsed="false">
      <c r="A126" s="134" t="s">
        <v>537</v>
      </c>
      <c r="B126" s="111" t="s">
        <v>245</v>
      </c>
      <c r="C126" s="112" t="s">
        <v>531</v>
      </c>
      <c r="D126" s="113" t="s">
        <v>271</v>
      </c>
      <c r="E126" s="114" t="s">
        <v>278</v>
      </c>
      <c r="F126" s="115" t="s">
        <v>538</v>
      </c>
      <c r="H126" s="97"/>
      <c r="I126" s="98"/>
      <c r="J126" s="98"/>
      <c r="K126" s="98"/>
      <c r="L126" s="98"/>
      <c r="M126" s="97"/>
      <c r="N126" s="98"/>
      <c r="O126" s="98"/>
      <c r="P126" s="98"/>
      <c r="Q126" s="98"/>
      <c r="R126" s="97"/>
      <c r="S126" s="98"/>
      <c r="T126" s="98"/>
      <c r="U126" s="98"/>
      <c r="V126" s="99"/>
      <c r="W126" s="100" t="str">
        <f aca="false">IF(COUNT(H126:L126)&lt;Instruções!$B$5,"",AVERAGE(H126:L126)/Instruções!$B$6-Instruções!$B$7)</f>
        <v/>
      </c>
      <c r="X126" s="101" t="str">
        <f aca="false">IF(COUNT(M126:Q126)&lt;Instruções!$B$5,"",AVERAGE(M126:Q126)/Instruções!$B$6-Instruções!$B$7)</f>
        <v/>
      </c>
      <c r="Y126" s="101" t="str">
        <f aca="false">IF(COUNT(R126:V126)&lt;Instruções!$B$5,"",AVERAGE(R126:V126)/Instruções!$B$6-Instruções!$B$7)</f>
        <v/>
      </c>
      <c r="Z126" s="102" t="str">
        <f aca="false">IF(OR(W126="",X126="",Y126=""),"",AVERAGE(W126:Y126))</f>
        <v/>
      </c>
      <c r="AA126" s="103" t="str">
        <f aca="false">IF(Z126="","",IF(Z126&gt;=Instruções!$B$8,"Manter",IF(Z126&gt;=Instruções!$B$9,"Revisar","Descartar")))</f>
        <v/>
      </c>
      <c r="AB126" s="116"/>
    </row>
    <row r="127" customFormat="false" ht="51.75" hidden="false" customHeight="true" outlineLevel="0" collapsed="false">
      <c r="A127" s="134" t="s">
        <v>539</v>
      </c>
      <c r="B127" s="111" t="s">
        <v>245</v>
      </c>
      <c r="C127" s="112" t="s">
        <v>531</v>
      </c>
      <c r="D127" s="113" t="s">
        <v>271</v>
      </c>
      <c r="E127" s="114" t="s">
        <v>350</v>
      </c>
      <c r="F127" s="115" t="s">
        <v>540</v>
      </c>
      <c r="H127" s="97"/>
      <c r="I127" s="98"/>
      <c r="J127" s="98"/>
      <c r="K127" s="98"/>
      <c r="L127" s="98"/>
      <c r="M127" s="97"/>
      <c r="N127" s="98"/>
      <c r="O127" s="98"/>
      <c r="P127" s="98"/>
      <c r="Q127" s="98"/>
      <c r="R127" s="97"/>
      <c r="S127" s="98"/>
      <c r="T127" s="98"/>
      <c r="U127" s="98"/>
      <c r="V127" s="99"/>
      <c r="W127" s="100" t="str">
        <f aca="false">IF(COUNT(H127:L127)&lt;Instruções!$B$5,"",AVERAGE(H127:L127)/Instruções!$B$6-Instruções!$B$7)</f>
        <v/>
      </c>
      <c r="X127" s="101" t="str">
        <f aca="false">IF(COUNT(M127:Q127)&lt;Instruções!$B$5,"",AVERAGE(M127:Q127)/Instruções!$B$6-Instruções!$B$7)</f>
        <v/>
      </c>
      <c r="Y127" s="101" t="str">
        <f aca="false">IF(COUNT(R127:V127)&lt;Instruções!$B$5,"",AVERAGE(R127:V127)/Instruções!$B$6-Instruções!$B$7)</f>
        <v/>
      </c>
      <c r="Z127" s="102" t="str">
        <f aca="false">IF(OR(W127="",X127="",Y127=""),"",AVERAGE(W127:Y127))</f>
        <v/>
      </c>
      <c r="AA127" s="103" t="str">
        <f aca="false">IF(Z127="","",IF(Z127&gt;=Instruções!$B$8,"Manter",IF(Z127&gt;=Instruções!$B$9,"Revisar","Descartar")))</f>
        <v/>
      </c>
      <c r="AB127" s="116"/>
    </row>
    <row r="128" customFormat="false" ht="37.5" hidden="false" customHeight="true" outlineLevel="0" collapsed="false">
      <c r="A128" s="133" t="s">
        <v>541</v>
      </c>
      <c r="B128" s="78" t="s">
        <v>245</v>
      </c>
      <c r="C128" s="79" t="s">
        <v>542</v>
      </c>
      <c r="D128" s="80" t="s">
        <v>118</v>
      </c>
      <c r="E128" s="81" t="s">
        <v>282</v>
      </c>
      <c r="F128" s="82" t="s">
        <v>543</v>
      </c>
      <c r="H128" s="83"/>
      <c r="I128" s="84"/>
      <c r="J128" s="84"/>
      <c r="K128" s="84"/>
      <c r="L128" s="84"/>
      <c r="M128" s="83"/>
      <c r="N128" s="84"/>
      <c r="O128" s="84"/>
      <c r="P128" s="84"/>
      <c r="Q128" s="84"/>
      <c r="R128" s="83"/>
      <c r="S128" s="84"/>
      <c r="T128" s="84"/>
      <c r="U128" s="84"/>
      <c r="V128" s="85"/>
      <c r="W128" s="86" t="str">
        <f aca="false">IF(COUNT(H128:L128)&lt;Instruções!$B$5,"",AVERAGE(H128:L128)/Instruções!$B$6-Instruções!$B$7)</f>
        <v/>
      </c>
      <c r="X128" s="87" t="str">
        <f aca="false">IF(COUNT(M128:Q128)&lt;Instruções!$B$5,"",AVERAGE(M128:Q128)/Instruções!$B$6-Instruções!$B$7)</f>
        <v/>
      </c>
      <c r="Y128" s="87" t="str">
        <f aca="false">IF(COUNT(R128:V128)&lt;Instruções!$B$5,"",AVERAGE(R128:V128)/Instruções!$B$6-Instruções!$B$7)</f>
        <v/>
      </c>
      <c r="Z128" s="88" t="str">
        <f aca="false">IF(OR(W128="",X128="",Y128=""),"",AVERAGE(W128:Y128))</f>
        <v/>
      </c>
      <c r="AA128" s="89" t="str">
        <f aca="false">IF(Z128="","",IF(Z128&gt;=Instruções!$B$8,"Manter",IF(Z128&gt;=Instruções!$B$9,"Revisar","Descartar")))</f>
        <v/>
      </c>
      <c r="AB128" s="90"/>
    </row>
    <row r="129" customFormat="false" ht="37.5" hidden="false" customHeight="true" outlineLevel="0" collapsed="false">
      <c r="A129" s="134" t="s">
        <v>544</v>
      </c>
      <c r="B129" s="92" t="s">
        <v>245</v>
      </c>
      <c r="C129" s="93" t="s">
        <v>542</v>
      </c>
      <c r="D129" s="94" t="s">
        <v>271</v>
      </c>
      <c r="E129" s="95" t="s">
        <v>272</v>
      </c>
      <c r="F129" s="96" t="s">
        <v>545</v>
      </c>
      <c r="H129" s="97"/>
      <c r="I129" s="98"/>
      <c r="J129" s="98"/>
      <c r="K129" s="98"/>
      <c r="L129" s="98"/>
      <c r="M129" s="97"/>
      <c r="N129" s="98"/>
      <c r="O129" s="98"/>
      <c r="P129" s="98"/>
      <c r="Q129" s="98"/>
      <c r="R129" s="97"/>
      <c r="S129" s="98"/>
      <c r="T129" s="98"/>
      <c r="U129" s="98"/>
      <c r="V129" s="99"/>
      <c r="W129" s="100" t="str">
        <f aca="false">IF(COUNT(H129:L129)&lt;Instruções!$B$5,"",AVERAGE(H129:L129)/Instruções!$B$6-Instruções!$B$7)</f>
        <v/>
      </c>
      <c r="X129" s="101" t="str">
        <f aca="false">IF(COUNT(M129:Q129)&lt;Instruções!$B$5,"",AVERAGE(M129:Q129)/Instruções!$B$6-Instruções!$B$7)</f>
        <v/>
      </c>
      <c r="Y129" s="101" t="str">
        <f aca="false">IF(COUNT(R129:V129)&lt;Instruções!$B$5,"",AVERAGE(R129:V129)/Instruções!$B$6-Instruções!$B$7)</f>
        <v/>
      </c>
      <c r="Z129" s="102" t="str">
        <f aca="false">IF(OR(W129="",X129="",Y129=""),"",AVERAGE(W129:Y129))</f>
        <v/>
      </c>
      <c r="AA129" s="103" t="str">
        <f aca="false">IF(Z129="","",IF(Z129&gt;=Instruções!$B$8,"Manter",IF(Z129&gt;=Instruções!$B$9,"Revisar","Descartar")))</f>
        <v/>
      </c>
      <c r="AB129" s="104"/>
    </row>
    <row r="130" customFormat="false" ht="37.5" hidden="false" customHeight="true" outlineLevel="0" collapsed="false">
      <c r="A130" s="134" t="s">
        <v>546</v>
      </c>
      <c r="B130" s="92" t="s">
        <v>245</v>
      </c>
      <c r="C130" s="93" t="s">
        <v>542</v>
      </c>
      <c r="D130" s="94" t="s">
        <v>271</v>
      </c>
      <c r="E130" s="95" t="s">
        <v>275</v>
      </c>
      <c r="F130" s="96" t="s">
        <v>547</v>
      </c>
      <c r="H130" s="97"/>
      <c r="I130" s="98"/>
      <c r="J130" s="98"/>
      <c r="K130" s="98"/>
      <c r="L130" s="98"/>
      <c r="M130" s="97"/>
      <c r="N130" s="98"/>
      <c r="O130" s="98"/>
      <c r="P130" s="98"/>
      <c r="Q130" s="98"/>
      <c r="R130" s="97"/>
      <c r="S130" s="98"/>
      <c r="T130" s="98"/>
      <c r="U130" s="98"/>
      <c r="V130" s="99"/>
      <c r="W130" s="100" t="str">
        <f aca="false">IF(COUNT(H130:L130)&lt;Instruções!$B$5,"",AVERAGE(H130:L130)/Instruções!$B$6-Instruções!$B$7)</f>
        <v/>
      </c>
      <c r="X130" s="101" t="str">
        <f aca="false">IF(COUNT(M130:Q130)&lt;Instruções!$B$5,"",AVERAGE(M130:Q130)/Instruções!$B$6-Instruções!$B$7)</f>
        <v/>
      </c>
      <c r="Y130" s="101" t="str">
        <f aca="false">IF(COUNT(R130:V130)&lt;Instruções!$B$5,"",AVERAGE(R130:V130)/Instruções!$B$6-Instruções!$B$7)</f>
        <v/>
      </c>
      <c r="Z130" s="102" t="str">
        <f aca="false">IF(OR(W130="",X130="",Y130=""),"",AVERAGE(W130:Y130))</f>
        <v/>
      </c>
      <c r="AA130" s="103" t="str">
        <f aca="false">IF(Z130="","",IF(Z130&gt;=Instruções!$B$8,"Manter",IF(Z130&gt;=Instruções!$B$9,"Revisar","Descartar")))</f>
        <v/>
      </c>
      <c r="AB130" s="104"/>
    </row>
    <row r="131" customFormat="false" ht="51.75" hidden="false" customHeight="true" outlineLevel="0" collapsed="false">
      <c r="A131" s="133" t="s">
        <v>548</v>
      </c>
      <c r="B131" s="105" t="s">
        <v>245</v>
      </c>
      <c r="C131" s="106" t="s">
        <v>549</v>
      </c>
      <c r="D131" s="107" t="s">
        <v>118</v>
      </c>
      <c r="E131" s="108" t="s">
        <v>282</v>
      </c>
      <c r="F131" s="109" t="s">
        <v>550</v>
      </c>
      <c r="H131" s="83"/>
      <c r="I131" s="84"/>
      <c r="J131" s="84"/>
      <c r="K131" s="84"/>
      <c r="L131" s="84"/>
      <c r="M131" s="83"/>
      <c r="N131" s="84"/>
      <c r="O131" s="84"/>
      <c r="P131" s="84"/>
      <c r="Q131" s="84"/>
      <c r="R131" s="83"/>
      <c r="S131" s="84"/>
      <c r="T131" s="84"/>
      <c r="U131" s="84"/>
      <c r="V131" s="85"/>
      <c r="W131" s="86" t="str">
        <f aca="false">IF(COUNT(H131:L131)&lt;Instruções!$B$5,"",AVERAGE(H131:L131)/Instruções!$B$6-Instruções!$B$7)</f>
        <v/>
      </c>
      <c r="X131" s="87" t="str">
        <f aca="false">IF(COUNT(M131:Q131)&lt;Instruções!$B$5,"",AVERAGE(M131:Q131)/Instruções!$B$6-Instruções!$B$7)</f>
        <v/>
      </c>
      <c r="Y131" s="87" t="str">
        <f aca="false">IF(COUNT(R131:V131)&lt;Instruções!$B$5,"",AVERAGE(R131:V131)/Instruções!$B$6-Instruções!$B$7)</f>
        <v/>
      </c>
      <c r="Z131" s="88" t="str">
        <f aca="false">IF(OR(W131="",X131="",Y131=""),"",AVERAGE(W131:Y131))</f>
        <v/>
      </c>
      <c r="AA131" s="89" t="str">
        <f aca="false">IF(Z131="","",IF(Z131&gt;=Instruções!$B$8,"Manter",IF(Z131&gt;=Instruções!$B$9,"Revisar","Descartar")))</f>
        <v/>
      </c>
      <c r="AB131" s="110"/>
    </row>
    <row r="132" customFormat="false" ht="51.75" hidden="false" customHeight="true" outlineLevel="0" collapsed="false">
      <c r="A132" s="134" t="s">
        <v>551</v>
      </c>
      <c r="B132" s="111" t="s">
        <v>245</v>
      </c>
      <c r="C132" s="112" t="s">
        <v>549</v>
      </c>
      <c r="D132" s="113" t="s">
        <v>271</v>
      </c>
      <c r="E132" s="114" t="s">
        <v>272</v>
      </c>
      <c r="F132" s="115" t="s">
        <v>552</v>
      </c>
      <c r="H132" s="97"/>
      <c r="I132" s="98"/>
      <c r="J132" s="98"/>
      <c r="K132" s="98"/>
      <c r="L132" s="98"/>
      <c r="M132" s="97"/>
      <c r="N132" s="98"/>
      <c r="O132" s="98"/>
      <c r="P132" s="98"/>
      <c r="Q132" s="98"/>
      <c r="R132" s="97"/>
      <c r="S132" s="98"/>
      <c r="T132" s="98"/>
      <c r="U132" s="98"/>
      <c r="V132" s="99"/>
      <c r="W132" s="100" t="str">
        <f aca="false">IF(COUNT(H132:L132)&lt;Instruções!$B$5,"",AVERAGE(H132:L132)/Instruções!$B$6-Instruções!$B$7)</f>
        <v/>
      </c>
      <c r="X132" s="101" t="str">
        <f aca="false">IF(COUNT(M132:Q132)&lt;Instruções!$B$5,"",AVERAGE(M132:Q132)/Instruções!$B$6-Instruções!$B$7)</f>
        <v/>
      </c>
      <c r="Y132" s="101" t="str">
        <f aca="false">IF(COUNT(R132:V132)&lt;Instruções!$B$5,"",AVERAGE(R132:V132)/Instruções!$B$6-Instruções!$B$7)</f>
        <v/>
      </c>
      <c r="Z132" s="102" t="str">
        <f aca="false">IF(OR(W132="",X132="",Y132=""),"",AVERAGE(W132:Y132))</f>
        <v/>
      </c>
      <c r="AA132" s="103" t="str">
        <f aca="false">IF(Z132="","",IF(Z132&gt;=Instruções!$B$8,"Manter",IF(Z132&gt;=Instruções!$B$9,"Revisar","Descartar")))</f>
        <v/>
      </c>
      <c r="AB132" s="116"/>
    </row>
    <row r="133" customFormat="false" ht="37.5" hidden="false" customHeight="true" outlineLevel="0" collapsed="false">
      <c r="A133" s="134" t="s">
        <v>553</v>
      </c>
      <c r="B133" s="111" t="s">
        <v>245</v>
      </c>
      <c r="C133" s="112" t="s">
        <v>549</v>
      </c>
      <c r="D133" s="113" t="s">
        <v>271</v>
      </c>
      <c r="E133" s="114" t="s">
        <v>275</v>
      </c>
      <c r="F133" s="115" t="s">
        <v>554</v>
      </c>
      <c r="H133" s="97"/>
      <c r="I133" s="98"/>
      <c r="J133" s="98"/>
      <c r="K133" s="98"/>
      <c r="L133" s="98"/>
      <c r="M133" s="97"/>
      <c r="N133" s="98"/>
      <c r="O133" s="98"/>
      <c r="P133" s="98"/>
      <c r="Q133" s="98"/>
      <c r="R133" s="97"/>
      <c r="S133" s="98"/>
      <c r="T133" s="98"/>
      <c r="U133" s="98"/>
      <c r="V133" s="99"/>
      <c r="W133" s="100" t="str">
        <f aca="false">IF(COUNT(H133:L133)&lt;Instruções!$B$5,"",AVERAGE(H133:L133)/Instruções!$B$6-Instruções!$B$7)</f>
        <v/>
      </c>
      <c r="X133" s="101" t="str">
        <f aca="false">IF(COUNT(M133:Q133)&lt;Instruções!$B$5,"",AVERAGE(M133:Q133)/Instruções!$B$6-Instruções!$B$7)</f>
        <v/>
      </c>
      <c r="Y133" s="101" t="str">
        <f aca="false">IF(COUNT(R133:V133)&lt;Instruções!$B$5,"",AVERAGE(R133:V133)/Instruções!$B$6-Instruções!$B$7)</f>
        <v/>
      </c>
      <c r="Z133" s="102" t="str">
        <f aca="false">IF(OR(W133="",X133="",Y133=""),"",AVERAGE(W133:Y133))</f>
        <v/>
      </c>
      <c r="AA133" s="103" t="str">
        <f aca="false">IF(Z133="","",IF(Z133&gt;=Instruções!$B$8,"Manter",IF(Z133&gt;=Instruções!$B$9,"Revisar","Descartar")))</f>
        <v/>
      </c>
      <c r="AB133" s="116"/>
    </row>
    <row r="134" customFormat="false" ht="37.5" hidden="false" customHeight="true" outlineLevel="0" collapsed="false">
      <c r="A134" s="133" t="s">
        <v>555</v>
      </c>
      <c r="B134" s="78" t="s">
        <v>245</v>
      </c>
      <c r="C134" s="79" t="s">
        <v>556</v>
      </c>
      <c r="D134" s="80" t="s">
        <v>118</v>
      </c>
      <c r="E134" s="81" t="s">
        <v>313</v>
      </c>
      <c r="F134" s="82" t="s">
        <v>557</v>
      </c>
      <c r="H134" s="83"/>
      <c r="I134" s="84"/>
      <c r="J134" s="84"/>
      <c r="K134" s="84"/>
      <c r="L134" s="84"/>
      <c r="M134" s="83"/>
      <c r="N134" s="84"/>
      <c r="O134" s="84"/>
      <c r="P134" s="84"/>
      <c r="Q134" s="84"/>
      <c r="R134" s="83"/>
      <c r="S134" s="84"/>
      <c r="T134" s="84"/>
      <c r="U134" s="84"/>
      <c r="V134" s="85"/>
      <c r="W134" s="86" t="str">
        <f aca="false">IF(COUNT(H134:L134)&lt;Instruções!$B$5,"",AVERAGE(H134:L134)/Instruções!$B$6-Instruções!$B$7)</f>
        <v/>
      </c>
      <c r="X134" s="87" t="str">
        <f aca="false">IF(COUNT(M134:Q134)&lt;Instruções!$B$5,"",AVERAGE(M134:Q134)/Instruções!$B$6-Instruções!$B$7)</f>
        <v/>
      </c>
      <c r="Y134" s="87" t="str">
        <f aca="false">IF(COUNT(R134:V134)&lt;Instruções!$B$5,"",AVERAGE(R134:V134)/Instruções!$B$6-Instruções!$B$7)</f>
        <v/>
      </c>
      <c r="Z134" s="88" t="str">
        <f aca="false">IF(OR(W134="",X134="",Y134=""),"",AVERAGE(W134:Y134))</f>
        <v/>
      </c>
      <c r="AA134" s="89" t="str">
        <f aca="false">IF(Z134="","",IF(Z134&gt;=Instruções!$B$8,"Manter",IF(Z134&gt;=Instruções!$B$9,"Revisar","Descartar")))</f>
        <v/>
      </c>
      <c r="AB134" s="90"/>
    </row>
    <row r="135" customFormat="false" ht="51.75" hidden="false" customHeight="true" outlineLevel="0" collapsed="false">
      <c r="A135" s="134" t="s">
        <v>558</v>
      </c>
      <c r="B135" s="92" t="s">
        <v>245</v>
      </c>
      <c r="C135" s="93" t="s">
        <v>556</v>
      </c>
      <c r="D135" s="94" t="s">
        <v>271</v>
      </c>
      <c r="E135" s="95" t="s">
        <v>272</v>
      </c>
      <c r="F135" s="96" t="s">
        <v>559</v>
      </c>
      <c r="H135" s="97"/>
      <c r="I135" s="98"/>
      <c r="J135" s="98"/>
      <c r="K135" s="98"/>
      <c r="L135" s="98"/>
      <c r="M135" s="97"/>
      <c r="N135" s="98"/>
      <c r="O135" s="98"/>
      <c r="P135" s="98"/>
      <c r="Q135" s="98"/>
      <c r="R135" s="97"/>
      <c r="S135" s="98"/>
      <c r="T135" s="98"/>
      <c r="U135" s="98"/>
      <c r="V135" s="99"/>
      <c r="W135" s="100" t="str">
        <f aca="false">IF(COUNT(H135:L135)&lt;Instruções!$B$5,"",AVERAGE(H135:L135)/Instruções!$B$6-Instruções!$B$7)</f>
        <v/>
      </c>
      <c r="X135" s="101" t="str">
        <f aca="false">IF(COUNT(M135:Q135)&lt;Instruções!$B$5,"",AVERAGE(M135:Q135)/Instruções!$B$6-Instruções!$B$7)</f>
        <v/>
      </c>
      <c r="Y135" s="101" t="str">
        <f aca="false">IF(COUNT(R135:V135)&lt;Instruções!$B$5,"",AVERAGE(R135:V135)/Instruções!$B$6-Instruções!$B$7)</f>
        <v/>
      </c>
      <c r="Z135" s="102" t="str">
        <f aca="false">IF(OR(W135="",X135="",Y135=""),"",AVERAGE(W135:Y135))</f>
        <v/>
      </c>
      <c r="AA135" s="103" t="str">
        <f aca="false">IF(Z135="","",IF(Z135&gt;=Instruções!$B$8,"Manter",IF(Z135&gt;=Instruções!$B$9,"Revisar","Descartar")))</f>
        <v/>
      </c>
      <c r="AB135" s="104"/>
    </row>
    <row r="136" customFormat="false" ht="51.75" hidden="false" customHeight="true" outlineLevel="0" collapsed="false">
      <c r="A136" s="133" t="s">
        <v>560</v>
      </c>
      <c r="B136" s="105" t="s">
        <v>245</v>
      </c>
      <c r="C136" s="106" t="s">
        <v>561</v>
      </c>
      <c r="D136" s="107" t="s">
        <v>118</v>
      </c>
      <c r="E136" s="108" t="s">
        <v>282</v>
      </c>
      <c r="F136" s="109" t="s">
        <v>562</v>
      </c>
      <c r="H136" s="83"/>
      <c r="I136" s="84"/>
      <c r="J136" s="84"/>
      <c r="K136" s="84"/>
      <c r="L136" s="84"/>
      <c r="M136" s="83"/>
      <c r="N136" s="84"/>
      <c r="O136" s="84"/>
      <c r="P136" s="84"/>
      <c r="Q136" s="84"/>
      <c r="R136" s="83"/>
      <c r="S136" s="84"/>
      <c r="T136" s="84"/>
      <c r="U136" s="84"/>
      <c r="V136" s="85"/>
      <c r="W136" s="86" t="str">
        <f aca="false">IF(COUNT(H136:L136)&lt;Instruções!$B$5,"",AVERAGE(H136:L136)/Instruções!$B$6-Instruções!$B$7)</f>
        <v/>
      </c>
      <c r="X136" s="87" t="str">
        <f aca="false">IF(COUNT(M136:Q136)&lt;Instruções!$B$5,"",AVERAGE(M136:Q136)/Instruções!$B$6-Instruções!$B$7)</f>
        <v/>
      </c>
      <c r="Y136" s="87" t="str">
        <f aca="false">IF(COUNT(R136:V136)&lt;Instruções!$B$5,"",AVERAGE(R136:V136)/Instruções!$B$6-Instruções!$B$7)</f>
        <v/>
      </c>
      <c r="Z136" s="88" t="str">
        <f aca="false">IF(OR(W136="",X136="",Y136=""),"",AVERAGE(W136:Y136))</f>
        <v/>
      </c>
      <c r="AA136" s="89" t="str">
        <f aca="false">IF(Z136="","",IF(Z136&gt;=Instruções!$B$8,"Manter",IF(Z136&gt;=Instruções!$B$9,"Revisar","Descartar")))</f>
        <v/>
      </c>
      <c r="AB136" s="110"/>
    </row>
    <row r="137" customFormat="false" ht="51.75" hidden="false" customHeight="true" outlineLevel="0" collapsed="false">
      <c r="A137" s="134" t="s">
        <v>563</v>
      </c>
      <c r="B137" s="111" t="s">
        <v>245</v>
      </c>
      <c r="C137" s="112" t="s">
        <v>561</v>
      </c>
      <c r="D137" s="113" t="s">
        <v>271</v>
      </c>
      <c r="E137" s="114" t="s">
        <v>272</v>
      </c>
      <c r="F137" s="115" t="s">
        <v>564</v>
      </c>
      <c r="H137" s="97"/>
      <c r="I137" s="98"/>
      <c r="J137" s="98"/>
      <c r="K137" s="98"/>
      <c r="L137" s="98"/>
      <c r="M137" s="97"/>
      <c r="N137" s="98"/>
      <c r="O137" s="98"/>
      <c r="P137" s="98"/>
      <c r="Q137" s="98"/>
      <c r="R137" s="97"/>
      <c r="S137" s="98"/>
      <c r="T137" s="98"/>
      <c r="U137" s="98"/>
      <c r="V137" s="99"/>
      <c r="W137" s="100" t="str">
        <f aca="false">IF(COUNT(H137:L137)&lt;Instruções!$B$5,"",AVERAGE(H137:L137)/Instruções!$B$6-Instruções!$B$7)</f>
        <v/>
      </c>
      <c r="X137" s="101" t="str">
        <f aca="false">IF(COUNT(M137:Q137)&lt;Instruções!$B$5,"",AVERAGE(M137:Q137)/Instruções!$B$6-Instruções!$B$7)</f>
        <v/>
      </c>
      <c r="Y137" s="101" t="str">
        <f aca="false">IF(COUNT(R137:V137)&lt;Instruções!$B$5,"",AVERAGE(R137:V137)/Instruções!$B$6-Instruções!$B$7)</f>
        <v/>
      </c>
      <c r="Z137" s="102" t="str">
        <f aca="false">IF(OR(W137="",X137="",Y137=""),"",AVERAGE(W137:Y137))</f>
        <v/>
      </c>
      <c r="AA137" s="103" t="str">
        <f aca="false">IF(Z137="","",IF(Z137&gt;=Instruções!$B$8,"Manter",IF(Z137&gt;=Instruções!$B$9,"Revisar","Descartar")))</f>
        <v/>
      </c>
      <c r="AB137" s="116"/>
    </row>
    <row r="138" customFormat="false" ht="37.5" hidden="false" customHeight="true" outlineLevel="0" collapsed="false">
      <c r="A138" s="134" t="s">
        <v>565</v>
      </c>
      <c r="B138" s="111" t="s">
        <v>245</v>
      </c>
      <c r="C138" s="112" t="s">
        <v>561</v>
      </c>
      <c r="D138" s="113" t="s">
        <v>271</v>
      </c>
      <c r="E138" s="114" t="s">
        <v>275</v>
      </c>
      <c r="F138" s="115" t="s">
        <v>566</v>
      </c>
      <c r="H138" s="97"/>
      <c r="I138" s="98"/>
      <c r="J138" s="98"/>
      <c r="K138" s="98"/>
      <c r="L138" s="98"/>
      <c r="M138" s="97"/>
      <c r="N138" s="98"/>
      <c r="O138" s="98"/>
      <c r="P138" s="98"/>
      <c r="Q138" s="98"/>
      <c r="R138" s="97"/>
      <c r="S138" s="98"/>
      <c r="T138" s="98"/>
      <c r="U138" s="98"/>
      <c r="V138" s="99"/>
      <c r="W138" s="100" t="str">
        <f aca="false">IF(COUNT(H138:L138)&lt;Instruções!$B$5,"",AVERAGE(H138:L138)/Instruções!$B$6-Instruções!$B$7)</f>
        <v/>
      </c>
      <c r="X138" s="101" t="str">
        <f aca="false">IF(COUNT(M138:Q138)&lt;Instruções!$B$5,"",AVERAGE(M138:Q138)/Instruções!$B$6-Instruções!$B$7)</f>
        <v/>
      </c>
      <c r="Y138" s="101" t="str">
        <f aca="false">IF(COUNT(R138:V138)&lt;Instruções!$B$5,"",AVERAGE(R138:V138)/Instruções!$B$6-Instruções!$B$7)</f>
        <v/>
      </c>
      <c r="Z138" s="102" t="str">
        <f aca="false">IF(OR(W138="",X138="",Y138=""),"",AVERAGE(W138:Y138))</f>
        <v/>
      </c>
      <c r="AA138" s="103" t="str">
        <f aca="false">IF(Z138="","",IF(Z138&gt;=Instruções!$B$8,"Manter",IF(Z138&gt;=Instruções!$B$9,"Revisar","Descartar")))</f>
        <v/>
      </c>
      <c r="AB138" s="116"/>
    </row>
    <row r="139" customFormat="false" ht="51.75" hidden="false" customHeight="true" outlineLevel="0" collapsed="false">
      <c r="A139" s="133" t="s">
        <v>567</v>
      </c>
      <c r="B139" s="78" t="s">
        <v>245</v>
      </c>
      <c r="C139" s="79" t="s">
        <v>568</v>
      </c>
      <c r="D139" s="80" t="s">
        <v>118</v>
      </c>
      <c r="E139" s="81" t="s">
        <v>282</v>
      </c>
      <c r="F139" s="82" t="s">
        <v>569</v>
      </c>
      <c r="H139" s="83"/>
      <c r="I139" s="84"/>
      <c r="J139" s="84"/>
      <c r="K139" s="84"/>
      <c r="L139" s="84"/>
      <c r="M139" s="83"/>
      <c r="N139" s="84"/>
      <c r="O139" s="84"/>
      <c r="P139" s="84"/>
      <c r="Q139" s="84"/>
      <c r="R139" s="83"/>
      <c r="S139" s="84"/>
      <c r="T139" s="84"/>
      <c r="U139" s="84"/>
      <c r="V139" s="85"/>
      <c r="W139" s="86" t="str">
        <f aca="false">IF(COUNT(H139:L139)&lt;Instruções!$B$5,"",AVERAGE(H139:L139)/Instruções!$B$6-Instruções!$B$7)</f>
        <v/>
      </c>
      <c r="X139" s="87" t="str">
        <f aca="false">IF(COUNT(M139:Q139)&lt;Instruções!$B$5,"",AVERAGE(M139:Q139)/Instruções!$B$6-Instruções!$B$7)</f>
        <v/>
      </c>
      <c r="Y139" s="87" t="str">
        <f aca="false">IF(COUNT(R139:V139)&lt;Instruções!$B$5,"",AVERAGE(R139:V139)/Instruções!$B$6-Instruções!$B$7)</f>
        <v/>
      </c>
      <c r="Z139" s="88" t="str">
        <f aca="false">IF(OR(W139="",X139="",Y139=""),"",AVERAGE(W139:Y139))</f>
        <v/>
      </c>
      <c r="AA139" s="89" t="str">
        <f aca="false">IF(Z139="","",IF(Z139&gt;=Instruções!$B$8,"Manter",IF(Z139&gt;=Instruções!$B$9,"Revisar","Descartar")))</f>
        <v/>
      </c>
      <c r="AB139" s="90"/>
    </row>
    <row r="140" customFormat="false" ht="51.75" hidden="false" customHeight="true" outlineLevel="0" collapsed="false">
      <c r="A140" s="134" t="s">
        <v>570</v>
      </c>
      <c r="B140" s="92" t="s">
        <v>245</v>
      </c>
      <c r="C140" s="93" t="s">
        <v>568</v>
      </c>
      <c r="D140" s="94" t="s">
        <v>271</v>
      </c>
      <c r="E140" s="95" t="s">
        <v>272</v>
      </c>
      <c r="F140" s="96" t="s">
        <v>571</v>
      </c>
      <c r="H140" s="97"/>
      <c r="I140" s="98"/>
      <c r="J140" s="98"/>
      <c r="K140" s="98"/>
      <c r="L140" s="98"/>
      <c r="M140" s="97"/>
      <c r="N140" s="98"/>
      <c r="O140" s="98"/>
      <c r="P140" s="98"/>
      <c r="Q140" s="98"/>
      <c r="R140" s="97"/>
      <c r="S140" s="98"/>
      <c r="T140" s="98"/>
      <c r="U140" s="98"/>
      <c r="V140" s="99"/>
      <c r="W140" s="100" t="str">
        <f aca="false">IF(COUNT(H140:L140)&lt;Instruções!$B$5,"",AVERAGE(H140:L140)/Instruções!$B$6-Instruções!$B$7)</f>
        <v/>
      </c>
      <c r="X140" s="101" t="str">
        <f aca="false">IF(COUNT(M140:Q140)&lt;Instruções!$B$5,"",AVERAGE(M140:Q140)/Instruções!$B$6-Instruções!$B$7)</f>
        <v/>
      </c>
      <c r="Y140" s="101" t="str">
        <f aca="false">IF(COUNT(R140:V140)&lt;Instruções!$B$5,"",AVERAGE(R140:V140)/Instruções!$B$6-Instruções!$B$7)</f>
        <v/>
      </c>
      <c r="Z140" s="102" t="str">
        <f aca="false">IF(OR(W140="",X140="",Y140=""),"",AVERAGE(W140:Y140))</f>
        <v/>
      </c>
      <c r="AA140" s="103" t="str">
        <f aca="false">IF(Z140="","",IF(Z140&gt;=Instruções!$B$8,"Manter",IF(Z140&gt;=Instruções!$B$9,"Revisar","Descartar")))</f>
        <v/>
      </c>
      <c r="AB140" s="104"/>
    </row>
    <row r="141" customFormat="false" ht="51.75" hidden="false" customHeight="true" outlineLevel="0" collapsed="false">
      <c r="A141" s="134" t="s">
        <v>572</v>
      </c>
      <c r="B141" s="92" t="s">
        <v>245</v>
      </c>
      <c r="C141" s="93" t="s">
        <v>568</v>
      </c>
      <c r="D141" s="94" t="s">
        <v>271</v>
      </c>
      <c r="E141" s="95" t="s">
        <v>275</v>
      </c>
      <c r="F141" s="96" t="s">
        <v>573</v>
      </c>
      <c r="H141" s="97"/>
      <c r="I141" s="98"/>
      <c r="J141" s="98"/>
      <c r="K141" s="98"/>
      <c r="L141" s="98"/>
      <c r="M141" s="97"/>
      <c r="N141" s="98"/>
      <c r="O141" s="98"/>
      <c r="P141" s="98"/>
      <c r="Q141" s="98"/>
      <c r="R141" s="97"/>
      <c r="S141" s="98"/>
      <c r="T141" s="98"/>
      <c r="U141" s="98"/>
      <c r="V141" s="99"/>
      <c r="W141" s="100" t="str">
        <f aca="false">IF(COUNT(H141:L141)&lt;Instruções!$B$5,"",AVERAGE(H141:L141)/Instruções!$B$6-Instruções!$B$7)</f>
        <v/>
      </c>
      <c r="X141" s="101" t="str">
        <f aca="false">IF(COUNT(M141:Q141)&lt;Instruções!$B$5,"",AVERAGE(M141:Q141)/Instruções!$B$6-Instruções!$B$7)</f>
        <v/>
      </c>
      <c r="Y141" s="101" t="str">
        <f aca="false">IF(COUNT(R141:V141)&lt;Instruções!$B$5,"",AVERAGE(R141:V141)/Instruções!$B$6-Instruções!$B$7)</f>
        <v/>
      </c>
      <c r="Z141" s="102" t="str">
        <f aca="false">IF(OR(W141="",X141="",Y141=""),"",AVERAGE(W141:Y141))</f>
        <v/>
      </c>
      <c r="AA141" s="103" t="str">
        <f aca="false">IF(Z141="","",IF(Z141&gt;=Instruções!$B$8,"Manter",IF(Z141&gt;=Instruções!$B$9,"Revisar","Descartar")))</f>
        <v/>
      </c>
      <c r="AB141" s="104"/>
    </row>
    <row r="142" customFormat="false" ht="51.75" hidden="false" customHeight="true" outlineLevel="0" collapsed="false">
      <c r="A142" s="133" t="s">
        <v>574</v>
      </c>
      <c r="B142" s="105" t="s">
        <v>245</v>
      </c>
      <c r="C142" s="106" t="s">
        <v>325</v>
      </c>
      <c r="D142" s="107" t="s">
        <v>326</v>
      </c>
      <c r="E142" s="108" t="s">
        <v>327</v>
      </c>
      <c r="F142" s="109" t="s">
        <v>575</v>
      </c>
      <c r="H142" s="83"/>
      <c r="I142" s="84"/>
      <c r="J142" s="84"/>
      <c r="K142" s="84"/>
      <c r="L142" s="84"/>
      <c r="M142" s="83"/>
      <c r="N142" s="84"/>
      <c r="O142" s="84"/>
      <c r="P142" s="84"/>
      <c r="Q142" s="84"/>
      <c r="R142" s="83"/>
      <c r="S142" s="84"/>
      <c r="T142" s="84"/>
      <c r="U142" s="84"/>
      <c r="V142" s="85"/>
      <c r="W142" s="86" t="str">
        <f aca="false">IF(COUNT(H142:L142)&lt;Instruções!$B$5,"",AVERAGE(H142:L142)/Instruções!$B$6-Instruções!$B$7)</f>
        <v/>
      </c>
      <c r="X142" s="87" t="str">
        <f aca="false">IF(COUNT(M142:Q142)&lt;Instruções!$B$5,"",AVERAGE(M142:Q142)/Instruções!$B$6-Instruções!$B$7)</f>
        <v/>
      </c>
      <c r="Y142" s="87" t="str">
        <f aca="false">IF(COUNT(R142:V142)&lt;Instruções!$B$5,"",AVERAGE(R142:V142)/Instruções!$B$6-Instruções!$B$7)</f>
        <v/>
      </c>
      <c r="Z142" s="88" t="str">
        <f aca="false">IF(OR(W142="",X142="",Y142=""),"",AVERAGE(W142:Y142))</f>
        <v/>
      </c>
      <c r="AA142" s="89" t="str">
        <f aca="false">IF(Z142="","",IF(Z142&gt;=Instruções!$B$8,"Manter",IF(Z142&gt;=Instruções!$B$9,"Revisar","Descartar")))</f>
        <v/>
      </c>
      <c r="AB142" s="110"/>
    </row>
    <row r="143" customFormat="false" ht="37.5" hidden="false" customHeight="true" outlineLevel="0" collapsed="false">
      <c r="A143" s="133" t="s">
        <v>576</v>
      </c>
      <c r="B143" s="78" t="s">
        <v>245</v>
      </c>
      <c r="C143" s="79" t="s">
        <v>325</v>
      </c>
      <c r="D143" s="80" t="s">
        <v>326</v>
      </c>
      <c r="E143" s="81" t="s">
        <v>327</v>
      </c>
      <c r="F143" s="82" t="s">
        <v>577</v>
      </c>
      <c r="H143" s="83"/>
      <c r="I143" s="84"/>
      <c r="J143" s="84"/>
      <c r="K143" s="84"/>
      <c r="L143" s="84"/>
      <c r="M143" s="83"/>
      <c r="N143" s="84"/>
      <c r="O143" s="84"/>
      <c r="P143" s="84"/>
      <c r="Q143" s="84"/>
      <c r="R143" s="83"/>
      <c r="S143" s="84"/>
      <c r="T143" s="84"/>
      <c r="U143" s="84"/>
      <c r="V143" s="85"/>
      <c r="W143" s="86" t="str">
        <f aca="false">IF(COUNT(H143:L143)&lt;Instruções!$B$5,"",AVERAGE(H143:L143)/Instruções!$B$6-Instruções!$B$7)</f>
        <v/>
      </c>
      <c r="X143" s="87" t="str">
        <f aca="false">IF(COUNT(M143:Q143)&lt;Instruções!$B$5,"",AVERAGE(M143:Q143)/Instruções!$B$6-Instruções!$B$7)</f>
        <v/>
      </c>
      <c r="Y143" s="87" t="str">
        <f aca="false">IF(COUNT(R143:V143)&lt;Instruções!$B$5,"",AVERAGE(R143:V143)/Instruções!$B$6-Instruções!$B$7)</f>
        <v/>
      </c>
      <c r="Z143" s="88" t="str">
        <f aca="false">IF(OR(W143="",X143="",Y143=""),"",AVERAGE(W143:Y143))</f>
        <v/>
      </c>
      <c r="AA143" s="89" t="str">
        <f aca="false">IF(Z143="","",IF(Z143&gt;=Instruções!$B$8,"Manter",IF(Z143&gt;=Instruções!$B$9,"Revisar","Descartar")))</f>
        <v/>
      </c>
      <c r="AB143" s="90"/>
    </row>
    <row r="144" customFormat="false" ht="37.5" hidden="false" customHeight="true" outlineLevel="0" collapsed="false">
      <c r="A144" s="133" t="s">
        <v>578</v>
      </c>
      <c r="B144" s="105" t="s">
        <v>245</v>
      </c>
      <c r="C144" s="106" t="s">
        <v>325</v>
      </c>
      <c r="D144" s="107" t="s">
        <v>326</v>
      </c>
      <c r="E144" s="108" t="s">
        <v>327</v>
      </c>
      <c r="F144" s="109" t="s">
        <v>579</v>
      </c>
      <c r="H144" s="83"/>
      <c r="I144" s="84"/>
      <c r="J144" s="84"/>
      <c r="K144" s="84"/>
      <c r="L144" s="84"/>
      <c r="M144" s="83"/>
      <c r="N144" s="84"/>
      <c r="O144" s="84"/>
      <c r="P144" s="84"/>
      <c r="Q144" s="84"/>
      <c r="R144" s="83"/>
      <c r="S144" s="84"/>
      <c r="T144" s="84"/>
      <c r="U144" s="84"/>
      <c r="V144" s="85"/>
      <c r="W144" s="86" t="str">
        <f aca="false">IF(COUNT(H144:L144)&lt;Instruções!$B$5,"",AVERAGE(H144:L144)/Instruções!$B$6-Instruções!$B$7)</f>
        <v/>
      </c>
      <c r="X144" s="87" t="str">
        <f aca="false">IF(COUNT(M144:Q144)&lt;Instruções!$B$5,"",AVERAGE(M144:Q144)/Instruções!$B$6-Instruções!$B$7)</f>
        <v/>
      </c>
      <c r="Y144" s="87" t="str">
        <f aca="false">IF(COUNT(R144:V144)&lt;Instruções!$B$5,"",AVERAGE(R144:V144)/Instruções!$B$6-Instruções!$B$7)</f>
        <v/>
      </c>
      <c r="Z144" s="88" t="str">
        <f aca="false">IF(OR(W144="",X144="",Y144=""),"",AVERAGE(W144:Y144))</f>
        <v/>
      </c>
      <c r="AA144" s="89" t="str">
        <f aca="false">IF(Z144="","",IF(Z144&gt;=Instruções!$B$8,"Manter",IF(Z144&gt;=Instruções!$B$9,"Revisar","Descartar")))</f>
        <v/>
      </c>
      <c r="AB144" s="110"/>
    </row>
    <row r="145" customFormat="false" ht="51.75" hidden="false" customHeight="true" outlineLevel="0" collapsed="false">
      <c r="A145" s="133" t="s">
        <v>580</v>
      </c>
      <c r="B145" s="78" t="s">
        <v>245</v>
      </c>
      <c r="C145" s="79" t="s">
        <v>325</v>
      </c>
      <c r="D145" s="80" t="s">
        <v>326</v>
      </c>
      <c r="E145" s="81" t="s">
        <v>272</v>
      </c>
      <c r="F145" s="82" t="s">
        <v>581</v>
      </c>
      <c r="H145" s="83"/>
      <c r="I145" s="84"/>
      <c r="J145" s="84"/>
      <c r="K145" s="84"/>
      <c r="L145" s="84"/>
      <c r="M145" s="83"/>
      <c r="N145" s="84"/>
      <c r="O145" s="84"/>
      <c r="P145" s="84"/>
      <c r="Q145" s="84"/>
      <c r="R145" s="83"/>
      <c r="S145" s="84"/>
      <c r="T145" s="84"/>
      <c r="U145" s="84"/>
      <c r="V145" s="85"/>
      <c r="W145" s="86" t="str">
        <f aca="false">IF(COUNT(H145:L145)&lt;Instruções!$B$5,"",AVERAGE(H145:L145)/Instruções!$B$6-Instruções!$B$7)</f>
        <v/>
      </c>
      <c r="X145" s="87" t="str">
        <f aca="false">IF(COUNT(M145:Q145)&lt;Instruções!$B$5,"",AVERAGE(M145:Q145)/Instruções!$B$6-Instruções!$B$7)</f>
        <v/>
      </c>
      <c r="Y145" s="87" t="str">
        <f aca="false">IF(COUNT(R145:V145)&lt;Instruções!$B$5,"",AVERAGE(R145:V145)/Instruções!$B$6-Instruções!$B$7)</f>
        <v/>
      </c>
      <c r="Z145" s="88" t="str">
        <f aca="false">IF(OR(W145="",X145="",Y145=""),"",AVERAGE(W145:Y145))</f>
        <v/>
      </c>
      <c r="AA145" s="89" t="str">
        <f aca="false">IF(Z145="","",IF(Z145&gt;=Instruções!$B$8,"Manter",IF(Z145&gt;=Instruções!$B$9,"Revisar","Descartar")))</f>
        <v/>
      </c>
      <c r="AB145" s="90"/>
    </row>
    <row r="146" customFormat="false" ht="51.75" hidden="false" customHeight="true" outlineLevel="0" collapsed="false">
      <c r="A146" s="133" t="s">
        <v>582</v>
      </c>
      <c r="B146" s="105" t="s">
        <v>245</v>
      </c>
      <c r="C146" s="106" t="s">
        <v>325</v>
      </c>
      <c r="D146" s="107" t="s">
        <v>326</v>
      </c>
      <c r="E146" s="108" t="s">
        <v>272</v>
      </c>
      <c r="F146" s="109" t="s">
        <v>583</v>
      </c>
      <c r="H146" s="83"/>
      <c r="I146" s="84"/>
      <c r="J146" s="84"/>
      <c r="K146" s="84"/>
      <c r="L146" s="84"/>
      <c r="M146" s="83"/>
      <c r="N146" s="84"/>
      <c r="O146" s="84"/>
      <c r="P146" s="84"/>
      <c r="Q146" s="84"/>
      <c r="R146" s="83"/>
      <c r="S146" s="84"/>
      <c r="T146" s="84"/>
      <c r="U146" s="84"/>
      <c r="V146" s="85"/>
      <c r="W146" s="86" t="str">
        <f aca="false">IF(COUNT(H146:L146)&lt;Instruções!$B$5,"",AVERAGE(H146:L146)/Instruções!$B$6-Instruções!$B$7)</f>
        <v/>
      </c>
      <c r="X146" s="87" t="str">
        <f aca="false">IF(COUNT(M146:Q146)&lt;Instruções!$B$5,"",AVERAGE(M146:Q146)/Instruções!$B$6-Instruções!$B$7)</f>
        <v/>
      </c>
      <c r="Y146" s="87" t="str">
        <f aca="false">IF(COUNT(R146:V146)&lt;Instruções!$B$5,"",AVERAGE(R146:V146)/Instruções!$B$6-Instruções!$B$7)</f>
        <v/>
      </c>
      <c r="Z146" s="88" t="str">
        <f aca="false">IF(OR(W146="",X146="",Y146=""),"",AVERAGE(W146:Y146))</f>
        <v/>
      </c>
      <c r="AA146" s="89" t="str">
        <f aca="false">IF(Z146="","",IF(Z146&gt;=Instruções!$B$8,"Manter",IF(Z146&gt;=Instruções!$B$9,"Revisar","Descartar")))</f>
        <v/>
      </c>
      <c r="AB146" s="110"/>
    </row>
    <row r="147" customFormat="false" ht="37.5" hidden="false" customHeight="true" outlineLevel="0" collapsed="false">
      <c r="A147" s="133" t="s">
        <v>584</v>
      </c>
      <c r="B147" s="78" t="s">
        <v>245</v>
      </c>
      <c r="C147" s="79" t="s">
        <v>325</v>
      </c>
      <c r="D147" s="80" t="s">
        <v>326</v>
      </c>
      <c r="E147" s="81" t="s">
        <v>275</v>
      </c>
      <c r="F147" s="82" t="s">
        <v>585</v>
      </c>
      <c r="H147" s="83"/>
      <c r="I147" s="84"/>
      <c r="J147" s="84"/>
      <c r="K147" s="84"/>
      <c r="L147" s="84"/>
      <c r="M147" s="83"/>
      <c r="N147" s="84"/>
      <c r="O147" s="84"/>
      <c r="P147" s="84"/>
      <c r="Q147" s="84"/>
      <c r="R147" s="83"/>
      <c r="S147" s="84"/>
      <c r="T147" s="84"/>
      <c r="U147" s="84"/>
      <c r="V147" s="85"/>
      <c r="W147" s="86" t="str">
        <f aca="false">IF(COUNT(H147:L147)&lt;Instruções!$B$5,"",AVERAGE(H147:L147)/Instruções!$B$6-Instruções!$B$7)</f>
        <v/>
      </c>
      <c r="X147" s="87" t="str">
        <f aca="false">IF(COUNT(M147:Q147)&lt;Instruções!$B$5,"",AVERAGE(M147:Q147)/Instruções!$B$6-Instruções!$B$7)</f>
        <v/>
      </c>
      <c r="Y147" s="87" t="str">
        <f aca="false">IF(COUNT(R147:V147)&lt;Instruções!$B$5,"",AVERAGE(R147:V147)/Instruções!$B$6-Instruções!$B$7)</f>
        <v/>
      </c>
      <c r="Z147" s="88" t="str">
        <f aca="false">IF(OR(W147="",X147="",Y147=""),"",AVERAGE(W147:Y147))</f>
        <v/>
      </c>
      <c r="AA147" s="89" t="str">
        <f aca="false">IF(Z147="","",IF(Z147&gt;=Instruções!$B$8,"Manter",IF(Z147&gt;=Instruções!$B$9,"Revisar","Descartar")))</f>
        <v/>
      </c>
      <c r="AB147" s="90"/>
    </row>
    <row r="148" customFormat="false" ht="37.5" hidden="false" customHeight="true" outlineLevel="0" collapsed="false">
      <c r="A148" s="133" t="s">
        <v>586</v>
      </c>
      <c r="B148" s="105" t="s">
        <v>245</v>
      </c>
      <c r="C148" s="106" t="s">
        <v>325</v>
      </c>
      <c r="D148" s="107" t="s">
        <v>326</v>
      </c>
      <c r="E148" s="108" t="s">
        <v>275</v>
      </c>
      <c r="F148" s="109" t="s">
        <v>587</v>
      </c>
      <c r="H148" s="83"/>
      <c r="I148" s="84"/>
      <c r="J148" s="84"/>
      <c r="K148" s="84"/>
      <c r="L148" s="84"/>
      <c r="M148" s="83"/>
      <c r="N148" s="84"/>
      <c r="O148" s="84"/>
      <c r="P148" s="84"/>
      <c r="Q148" s="84"/>
      <c r="R148" s="83"/>
      <c r="S148" s="84"/>
      <c r="T148" s="84"/>
      <c r="U148" s="84"/>
      <c r="V148" s="85"/>
      <c r="W148" s="86" t="str">
        <f aca="false">IF(COUNT(H148:L148)&lt;Instruções!$B$5,"",AVERAGE(H148:L148)/Instruções!$B$6-Instruções!$B$7)</f>
        <v/>
      </c>
      <c r="X148" s="87" t="str">
        <f aca="false">IF(COUNT(M148:Q148)&lt;Instruções!$B$5,"",AVERAGE(M148:Q148)/Instruções!$B$6-Instruções!$B$7)</f>
        <v/>
      </c>
      <c r="Y148" s="87" t="str">
        <f aca="false">IF(COUNT(R148:V148)&lt;Instruções!$B$5,"",AVERAGE(R148:V148)/Instruções!$B$6-Instruções!$B$7)</f>
        <v/>
      </c>
      <c r="Z148" s="88" t="str">
        <f aca="false">IF(OR(W148="",X148="",Y148=""),"",AVERAGE(W148:Y148))</f>
        <v/>
      </c>
      <c r="AA148" s="89" t="str">
        <f aca="false">IF(Z148="","",IF(Z148&gt;=Instruções!$B$8,"Manter",IF(Z148&gt;=Instruções!$B$9,"Revisar","Descartar")))</f>
        <v/>
      </c>
      <c r="AB148" s="110"/>
    </row>
    <row r="149" customFormat="false" ht="37.5" hidden="false" customHeight="true" outlineLevel="0" collapsed="false">
      <c r="A149" s="133" t="s">
        <v>588</v>
      </c>
      <c r="B149" s="78" t="s">
        <v>245</v>
      </c>
      <c r="C149" s="79" t="s">
        <v>325</v>
      </c>
      <c r="D149" s="80" t="s">
        <v>326</v>
      </c>
      <c r="E149" s="81" t="s">
        <v>275</v>
      </c>
      <c r="F149" s="82" t="s">
        <v>589</v>
      </c>
      <c r="H149" s="83"/>
      <c r="I149" s="84"/>
      <c r="J149" s="84"/>
      <c r="K149" s="84"/>
      <c r="L149" s="84"/>
      <c r="M149" s="83"/>
      <c r="N149" s="84"/>
      <c r="O149" s="84"/>
      <c r="P149" s="84"/>
      <c r="Q149" s="84"/>
      <c r="R149" s="83"/>
      <c r="S149" s="84"/>
      <c r="T149" s="84"/>
      <c r="U149" s="84"/>
      <c r="V149" s="85"/>
      <c r="W149" s="86" t="str">
        <f aca="false">IF(COUNT(H149:L149)&lt;Instruções!$B$5,"",AVERAGE(H149:L149)/Instruções!$B$6-Instruções!$B$7)</f>
        <v/>
      </c>
      <c r="X149" s="87" t="str">
        <f aca="false">IF(COUNT(M149:Q149)&lt;Instruções!$B$5,"",AVERAGE(M149:Q149)/Instruções!$B$6-Instruções!$B$7)</f>
        <v/>
      </c>
      <c r="Y149" s="87" t="str">
        <f aca="false">IF(COUNT(R149:V149)&lt;Instruções!$B$5,"",AVERAGE(R149:V149)/Instruções!$B$6-Instruções!$B$7)</f>
        <v/>
      </c>
      <c r="Z149" s="88" t="str">
        <f aca="false">IF(OR(W149="",X149="",Y149=""),"",AVERAGE(W149:Y149))</f>
        <v/>
      </c>
      <c r="AA149" s="89" t="str">
        <f aca="false">IF(Z149="","",IF(Z149&gt;=Instruções!$B$8,"Manter",IF(Z149&gt;=Instruções!$B$9,"Revisar","Descartar")))</f>
        <v/>
      </c>
      <c r="AB149" s="90"/>
    </row>
    <row r="150" customFormat="false" ht="31.5" hidden="false" customHeight="true" outlineLevel="0" collapsed="false">
      <c r="A150" s="133" t="s">
        <v>590</v>
      </c>
      <c r="B150" s="105" t="s">
        <v>245</v>
      </c>
      <c r="C150" s="106" t="s">
        <v>325</v>
      </c>
      <c r="D150" s="107" t="s">
        <v>326</v>
      </c>
      <c r="E150" s="108" t="s">
        <v>278</v>
      </c>
      <c r="F150" s="109" t="s">
        <v>591</v>
      </c>
      <c r="H150" s="83"/>
      <c r="I150" s="84"/>
      <c r="J150" s="84"/>
      <c r="K150" s="84"/>
      <c r="L150" s="84"/>
      <c r="M150" s="83"/>
      <c r="N150" s="84"/>
      <c r="O150" s="84"/>
      <c r="P150" s="84"/>
      <c r="Q150" s="84"/>
      <c r="R150" s="83"/>
      <c r="S150" s="84"/>
      <c r="T150" s="84"/>
      <c r="U150" s="84"/>
      <c r="V150" s="85"/>
      <c r="W150" s="86" t="str">
        <f aca="false">IF(COUNT(H150:L150)&lt;Instruções!$B$5,"",AVERAGE(H150:L150)/Instruções!$B$6-Instruções!$B$7)</f>
        <v/>
      </c>
      <c r="X150" s="87" t="str">
        <f aca="false">IF(COUNT(M150:Q150)&lt;Instruções!$B$5,"",AVERAGE(M150:Q150)/Instruções!$B$6-Instruções!$B$7)</f>
        <v/>
      </c>
      <c r="Y150" s="87" t="str">
        <f aca="false">IF(COUNT(R150:V150)&lt;Instruções!$B$5,"",AVERAGE(R150:V150)/Instruções!$B$6-Instruções!$B$7)</f>
        <v/>
      </c>
      <c r="Z150" s="88" t="str">
        <f aca="false">IF(OR(W150="",X150="",Y150=""),"",AVERAGE(W150:Y150))</f>
        <v/>
      </c>
      <c r="AA150" s="89" t="str">
        <f aca="false">IF(Z150="","",IF(Z150&gt;=Instruções!$B$8,"Manter",IF(Z150&gt;=Instruções!$B$9,"Revisar","Descartar")))</f>
        <v/>
      </c>
      <c r="AB150" s="110"/>
    </row>
    <row r="151" customFormat="false" ht="37.5" hidden="false" customHeight="true" outlineLevel="0" collapsed="false">
      <c r="A151" s="133" t="s">
        <v>592</v>
      </c>
      <c r="B151" s="78" t="s">
        <v>245</v>
      </c>
      <c r="C151" s="79" t="s">
        <v>325</v>
      </c>
      <c r="D151" s="80" t="s">
        <v>326</v>
      </c>
      <c r="E151" s="81" t="s">
        <v>278</v>
      </c>
      <c r="F151" s="82" t="s">
        <v>593</v>
      </c>
      <c r="H151" s="83"/>
      <c r="I151" s="84"/>
      <c r="J151" s="84"/>
      <c r="K151" s="84"/>
      <c r="L151" s="84"/>
      <c r="M151" s="83"/>
      <c r="N151" s="84"/>
      <c r="O151" s="84"/>
      <c r="P151" s="84"/>
      <c r="Q151" s="84"/>
      <c r="R151" s="83"/>
      <c r="S151" s="84"/>
      <c r="T151" s="84"/>
      <c r="U151" s="84"/>
      <c r="V151" s="85"/>
      <c r="W151" s="86" t="str">
        <f aca="false">IF(COUNT(H151:L151)&lt;Instruções!$B$5,"",AVERAGE(H151:L151)/Instruções!$B$6-Instruções!$B$7)</f>
        <v/>
      </c>
      <c r="X151" s="87" t="str">
        <f aca="false">IF(COUNT(M151:Q151)&lt;Instruções!$B$5,"",AVERAGE(M151:Q151)/Instruções!$B$6-Instruções!$B$7)</f>
        <v/>
      </c>
      <c r="Y151" s="87" t="str">
        <f aca="false">IF(COUNT(R151:V151)&lt;Instruções!$B$5,"",AVERAGE(R151:V151)/Instruções!$B$6-Instruções!$B$7)</f>
        <v/>
      </c>
      <c r="Z151" s="88" t="str">
        <f aca="false">IF(OR(W151="",X151="",Y151=""),"",AVERAGE(W151:Y151))</f>
        <v/>
      </c>
      <c r="AA151" s="89" t="str">
        <f aca="false">IF(Z151="","",IF(Z151&gt;=Instruções!$B$8,"Manter",IF(Z151&gt;=Instruções!$B$9,"Revisar","Descartar")))</f>
        <v/>
      </c>
      <c r="AB151" s="90"/>
    </row>
    <row r="152" customFormat="false" ht="37.5" hidden="false" customHeight="true" outlineLevel="0" collapsed="false">
      <c r="A152" s="133" t="s">
        <v>594</v>
      </c>
      <c r="B152" s="105" t="s">
        <v>245</v>
      </c>
      <c r="C152" s="106" t="s">
        <v>325</v>
      </c>
      <c r="D152" s="107" t="s">
        <v>326</v>
      </c>
      <c r="E152" s="108" t="s">
        <v>278</v>
      </c>
      <c r="F152" s="109" t="s">
        <v>595</v>
      </c>
      <c r="H152" s="83"/>
      <c r="I152" s="84"/>
      <c r="J152" s="84"/>
      <c r="K152" s="84"/>
      <c r="L152" s="84"/>
      <c r="M152" s="83"/>
      <c r="N152" s="84"/>
      <c r="O152" s="84"/>
      <c r="P152" s="84"/>
      <c r="Q152" s="84"/>
      <c r="R152" s="83"/>
      <c r="S152" s="84"/>
      <c r="T152" s="84"/>
      <c r="U152" s="84"/>
      <c r="V152" s="85"/>
      <c r="W152" s="86" t="str">
        <f aca="false">IF(COUNT(H152:L152)&lt;Instruções!$B$5,"",AVERAGE(H152:L152)/Instruções!$B$6-Instruções!$B$7)</f>
        <v/>
      </c>
      <c r="X152" s="87" t="str">
        <f aca="false">IF(COUNT(M152:Q152)&lt;Instruções!$B$5,"",AVERAGE(M152:Q152)/Instruções!$B$6-Instruções!$B$7)</f>
        <v/>
      </c>
      <c r="Y152" s="87" t="str">
        <f aca="false">IF(COUNT(R152:V152)&lt;Instruções!$B$5,"",AVERAGE(R152:V152)/Instruções!$B$6-Instruções!$B$7)</f>
        <v/>
      </c>
      <c r="Z152" s="88" t="str">
        <f aca="false">IF(OR(W152="",X152="",Y152=""),"",AVERAGE(W152:Y152))</f>
        <v/>
      </c>
      <c r="AA152" s="89" t="str">
        <f aca="false">IF(Z152="","",IF(Z152&gt;=Instruções!$B$8,"Manter",IF(Z152&gt;=Instruções!$B$9,"Revisar","Descartar")))</f>
        <v/>
      </c>
      <c r="AB152" s="110"/>
    </row>
    <row r="153" customFormat="false" ht="51.75" hidden="false" customHeight="true" outlineLevel="0" collapsed="false">
      <c r="A153" s="133" t="s">
        <v>596</v>
      </c>
      <c r="B153" s="78" t="s">
        <v>245</v>
      </c>
      <c r="C153" s="79" t="s">
        <v>325</v>
      </c>
      <c r="D153" s="80" t="s">
        <v>326</v>
      </c>
      <c r="E153" s="81" t="s">
        <v>350</v>
      </c>
      <c r="F153" s="82" t="s">
        <v>597</v>
      </c>
      <c r="H153" s="83"/>
      <c r="I153" s="84"/>
      <c r="J153" s="84"/>
      <c r="K153" s="84"/>
      <c r="L153" s="84"/>
      <c r="M153" s="83"/>
      <c r="N153" s="84"/>
      <c r="O153" s="84"/>
      <c r="P153" s="84"/>
      <c r="Q153" s="84"/>
      <c r="R153" s="83"/>
      <c r="S153" s="84"/>
      <c r="T153" s="84"/>
      <c r="U153" s="84"/>
      <c r="V153" s="85"/>
      <c r="W153" s="86" t="str">
        <f aca="false">IF(COUNT(H153:L153)&lt;Instruções!$B$5,"",AVERAGE(H153:L153)/Instruções!$B$6-Instruções!$B$7)</f>
        <v/>
      </c>
      <c r="X153" s="87" t="str">
        <f aca="false">IF(COUNT(M153:Q153)&lt;Instruções!$B$5,"",AVERAGE(M153:Q153)/Instruções!$B$6-Instruções!$B$7)</f>
        <v/>
      </c>
      <c r="Y153" s="87" t="str">
        <f aca="false">IF(COUNT(R153:V153)&lt;Instruções!$B$5,"",AVERAGE(R153:V153)/Instruções!$B$6-Instruções!$B$7)</f>
        <v/>
      </c>
      <c r="Z153" s="88" t="str">
        <f aca="false">IF(OR(W153="",X153="",Y153=""),"",AVERAGE(W153:Y153))</f>
        <v/>
      </c>
      <c r="AA153" s="89" t="str">
        <f aca="false">IF(Z153="","",IF(Z153&gt;=Instruções!$B$8,"Manter",IF(Z153&gt;=Instruções!$B$9,"Revisar","Descartar")))</f>
        <v/>
      </c>
      <c r="AB153" s="90"/>
    </row>
    <row r="154" customFormat="false" ht="51.75" hidden="false" customHeight="true" outlineLevel="0" collapsed="false">
      <c r="A154" s="133" t="s">
        <v>598</v>
      </c>
      <c r="B154" s="105" t="s">
        <v>245</v>
      </c>
      <c r="C154" s="106" t="s">
        <v>325</v>
      </c>
      <c r="D154" s="107" t="s">
        <v>326</v>
      </c>
      <c r="E154" s="108" t="s">
        <v>350</v>
      </c>
      <c r="F154" s="109" t="s">
        <v>599</v>
      </c>
      <c r="H154" s="83"/>
      <c r="I154" s="84"/>
      <c r="J154" s="84"/>
      <c r="K154" s="84"/>
      <c r="L154" s="84"/>
      <c r="M154" s="83"/>
      <c r="N154" s="84"/>
      <c r="O154" s="84"/>
      <c r="P154" s="84"/>
      <c r="Q154" s="84"/>
      <c r="R154" s="83"/>
      <c r="S154" s="84"/>
      <c r="T154" s="84"/>
      <c r="U154" s="84"/>
      <c r="V154" s="85"/>
      <c r="W154" s="86" t="str">
        <f aca="false">IF(COUNT(H154:L154)&lt;Instruções!$B$5,"",AVERAGE(H154:L154)/Instruções!$B$6-Instruções!$B$7)</f>
        <v/>
      </c>
      <c r="X154" s="87" t="str">
        <f aca="false">IF(COUNT(M154:Q154)&lt;Instruções!$B$5,"",AVERAGE(M154:Q154)/Instruções!$B$6-Instruções!$B$7)</f>
        <v/>
      </c>
      <c r="Y154" s="87" t="str">
        <f aca="false">IF(COUNT(R154:V154)&lt;Instruções!$B$5,"",AVERAGE(R154:V154)/Instruções!$B$6-Instruções!$B$7)</f>
        <v/>
      </c>
      <c r="Z154" s="88" t="str">
        <f aca="false">IF(OR(W154="",X154="",Y154=""),"",AVERAGE(W154:Y154))</f>
        <v/>
      </c>
      <c r="AA154" s="89" t="str">
        <f aca="false">IF(Z154="","",IF(Z154&gt;=Instruções!$B$8,"Manter",IF(Z154&gt;=Instruções!$B$9,"Revisar","Descartar")))</f>
        <v/>
      </c>
      <c r="AB154" s="110"/>
    </row>
    <row r="155" customFormat="false" ht="66" hidden="false" customHeight="true" outlineLevel="0" collapsed="false">
      <c r="A155" s="133" t="s">
        <v>600</v>
      </c>
      <c r="B155" s="78" t="s">
        <v>245</v>
      </c>
      <c r="C155" s="79" t="s">
        <v>325</v>
      </c>
      <c r="D155" s="80" t="s">
        <v>326</v>
      </c>
      <c r="E155" s="81" t="s">
        <v>350</v>
      </c>
      <c r="F155" s="82" t="s">
        <v>601</v>
      </c>
      <c r="H155" s="83"/>
      <c r="I155" s="84"/>
      <c r="J155" s="84"/>
      <c r="K155" s="84"/>
      <c r="L155" s="84"/>
      <c r="M155" s="83"/>
      <c r="N155" s="84"/>
      <c r="O155" s="84"/>
      <c r="P155" s="84"/>
      <c r="Q155" s="84"/>
      <c r="R155" s="83"/>
      <c r="S155" s="84"/>
      <c r="T155" s="84"/>
      <c r="U155" s="84"/>
      <c r="V155" s="85"/>
      <c r="W155" s="86" t="str">
        <f aca="false">IF(COUNT(H155:L155)&lt;Instruções!$B$5,"",AVERAGE(H155:L155)/Instruções!$B$6-Instruções!$B$7)</f>
        <v/>
      </c>
      <c r="X155" s="87" t="str">
        <f aca="false">IF(COUNT(M155:Q155)&lt;Instruções!$B$5,"",AVERAGE(M155:Q155)/Instruções!$B$6-Instruções!$B$7)</f>
        <v/>
      </c>
      <c r="Y155" s="87" t="str">
        <f aca="false">IF(COUNT(R155:V155)&lt;Instruções!$B$5,"",AVERAGE(R155:V155)/Instruções!$B$6-Instruções!$B$7)</f>
        <v/>
      </c>
      <c r="Z155" s="88" t="str">
        <f aca="false">IF(OR(W155="",X155="",Y155=""),"",AVERAGE(W155:Y155))</f>
        <v/>
      </c>
      <c r="AA155" s="89" t="str">
        <f aca="false">IF(Z155="","",IF(Z155&gt;=Instruções!$B$8,"Manter",IF(Z155&gt;=Instruções!$B$9,"Revisar","Descartar")))</f>
        <v/>
      </c>
      <c r="AB155" s="90"/>
    </row>
    <row r="156" customFormat="false" ht="64.5" hidden="false" customHeight="true" outlineLevel="0" collapsed="false">
      <c r="A156" s="135" t="s">
        <v>602</v>
      </c>
      <c r="B156" s="135"/>
      <c r="C156" s="135"/>
      <c r="D156" s="135"/>
      <c r="E156" s="135"/>
      <c r="F156" s="135"/>
      <c r="G156" s="136"/>
      <c r="H156" s="137"/>
      <c r="I156" s="136"/>
      <c r="J156" s="136"/>
      <c r="K156" s="136"/>
      <c r="L156" s="136"/>
      <c r="M156" s="137"/>
      <c r="N156" s="136"/>
      <c r="O156" s="136"/>
      <c r="P156" s="136"/>
      <c r="Q156" s="136"/>
      <c r="R156" s="137"/>
      <c r="S156" s="136"/>
      <c r="T156" s="136"/>
      <c r="U156" s="136"/>
      <c r="V156" s="138"/>
      <c r="W156" s="137"/>
      <c r="X156" s="136"/>
      <c r="Y156" s="136"/>
      <c r="Z156" s="136"/>
      <c r="AA156" s="137"/>
      <c r="AB156" s="137"/>
    </row>
    <row r="157" customFormat="false" ht="51.75" hidden="false" customHeight="true" outlineLevel="0" collapsed="false">
      <c r="A157" s="139" t="s">
        <v>603</v>
      </c>
      <c r="B157" s="78" t="s">
        <v>249</v>
      </c>
      <c r="C157" s="79" t="s">
        <v>325</v>
      </c>
      <c r="D157" s="80" t="s">
        <v>326</v>
      </c>
      <c r="E157" s="81" t="s">
        <v>272</v>
      </c>
      <c r="F157" s="82" t="s">
        <v>604</v>
      </c>
      <c r="H157" s="83"/>
      <c r="I157" s="84"/>
      <c r="J157" s="84"/>
      <c r="K157" s="84"/>
      <c r="L157" s="84"/>
      <c r="M157" s="83"/>
      <c r="N157" s="84"/>
      <c r="O157" s="84"/>
      <c r="P157" s="84"/>
      <c r="Q157" s="84"/>
      <c r="R157" s="83"/>
      <c r="S157" s="84"/>
      <c r="T157" s="84"/>
      <c r="U157" s="84"/>
      <c r="V157" s="85"/>
      <c r="W157" s="86" t="str">
        <f aca="false">IF(COUNT(H157:L157)&lt;Instruções!$B$5,"",AVERAGE(H157:L157)/Instruções!$B$6-Instruções!$B$7)</f>
        <v/>
      </c>
      <c r="X157" s="87" t="str">
        <f aca="false">IF(COUNT(M157:Q157)&lt;Instruções!$B$5,"",AVERAGE(M157:Q157)/Instruções!$B$6-Instruções!$B$7)</f>
        <v/>
      </c>
      <c r="Y157" s="87" t="str">
        <f aca="false">IF(COUNT(R157:V157)&lt;Instruções!$B$5,"",AVERAGE(R157:V157)/Instruções!$B$6-Instruções!$B$7)</f>
        <v/>
      </c>
      <c r="Z157" s="88" t="str">
        <f aca="false">IF(OR(W157="",X157="",Y157=""),"",AVERAGE(W157:Y157))</f>
        <v/>
      </c>
      <c r="AA157" s="89" t="str">
        <f aca="false">IF(Z157="","",IF(Z157&gt;=Instruções!$B$8,"Manter",IF(Z157&gt;=Instruções!$B$9,"Revisar","Descartar")))</f>
        <v/>
      </c>
      <c r="AB157" s="90"/>
    </row>
    <row r="158" customFormat="false" ht="51.75" hidden="false" customHeight="true" outlineLevel="0" collapsed="false">
      <c r="A158" s="139" t="s">
        <v>605</v>
      </c>
      <c r="B158" s="105" t="s">
        <v>249</v>
      </c>
      <c r="C158" s="106" t="s">
        <v>325</v>
      </c>
      <c r="D158" s="107" t="s">
        <v>326</v>
      </c>
      <c r="E158" s="108" t="s">
        <v>272</v>
      </c>
      <c r="F158" s="109" t="s">
        <v>606</v>
      </c>
      <c r="H158" s="83"/>
      <c r="I158" s="84"/>
      <c r="J158" s="84"/>
      <c r="K158" s="84"/>
      <c r="L158" s="84"/>
      <c r="M158" s="83"/>
      <c r="N158" s="84"/>
      <c r="O158" s="84"/>
      <c r="P158" s="84"/>
      <c r="Q158" s="84"/>
      <c r="R158" s="83"/>
      <c r="S158" s="84"/>
      <c r="T158" s="84"/>
      <c r="U158" s="84"/>
      <c r="V158" s="85"/>
      <c r="W158" s="86" t="str">
        <f aca="false">IF(COUNT(H158:L158)&lt;Instruções!$B$5,"",AVERAGE(H158:L158)/Instruções!$B$6-Instruções!$B$7)</f>
        <v/>
      </c>
      <c r="X158" s="87" t="str">
        <f aca="false">IF(COUNT(M158:Q158)&lt;Instruções!$B$5,"",AVERAGE(M158:Q158)/Instruções!$B$6-Instruções!$B$7)</f>
        <v/>
      </c>
      <c r="Y158" s="87" t="str">
        <f aca="false">IF(COUNT(R158:V158)&lt;Instruções!$B$5,"",AVERAGE(R158:V158)/Instruções!$B$6-Instruções!$B$7)</f>
        <v/>
      </c>
      <c r="Z158" s="88" t="str">
        <f aca="false">IF(OR(W158="",X158="",Y158=""),"",AVERAGE(W158:Y158))</f>
        <v/>
      </c>
      <c r="AA158" s="89" t="str">
        <f aca="false">IF(Z158="","",IF(Z158&gt;=Instruções!$B$8,"Manter",IF(Z158&gt;=Instruções!$B$9,"Revisar","Descartar")))</f>
        <v/>
      </c>
      <c r="AB158" s="110"/>
    </row>
    <row r="159" customFormat="false" ht="51.75" hidden="false" customHeight="true" outlineLevel="0" collapsed="false">
      <c r="A159" s="139" t="s">
        <v>607</v>
      </c>
      <c r="B159" s="78" t="s">
        <v>249</v>
      </c>
      <c r="C159" s="79" t="s">
        <v>325</v>
      </c>
      <c r="D159" s="80" t="s">
        <v>326</v>
      </c>
      <c r="E159" s="81" t="s">
        <v>272</v>
      </c>
      <c r="F159" s="82" t="s">
        <v>608</v>
      </c>
      <c r="H159" s="83"/>
      <c r="I159" s="84"/>
      <c r="J159" s="84"/>
      <c r="K159" s="84"/>
      <c r="L159" s="84"/>
      <c r="M159" s="83"/>
      <c r="N159" s="84"/>
      <c r="O159" s="84"/>
      <c r="P159" s="84"/>
      <c r="Q159" s="84"/>
      <c r="R159" s="83"/>
      <c r="S159" s="84"/>
      <c r="T159" s="84"/>
      <c r="U159" s="84"/>
      <c r="V159" s="85"/>
      <c r="W159" s="86" t="str">
        <f aca="false">IF(COUNT(H159:L159)&lt;Instruções!$B$5,"",AVERAGE(H159:L159)/Instruções!$B$6-Instruções!$B$7)</f>
        <v/>
      </c>
      <c r="X159" s="87" t="str">
        <f aca="false">IF(COUNT(M159:Q159)&lt;Instruções!$B$5,"",AVERAGE(M159:Q159)/Instruções!$B$6-Instruções!$B$7)</f>
        <v/>
      </c>
      <c r="Y159" s="87" t="str">
        <f aca="false">IF(COUNT(R159:V159)&lt;Instruções!$B$5,"",AVERAGE(R159:V159)/Instruções!$B$6-Instruções!$B$7)</f>
        <v/>
      </c>
      <c r="Z159" s="88" t="str">
        <f aca="false">IF(OR(W159="",X159="",Y159=""),"",AVERAGE(W159:Y159))</f>
        <v/>
      </c>
      <c r="AA159" s="89" t="str">
        <f aca="false">IF(Z159="","",IF(Z159&gt;=Instruções!$B$8,"Manter",IF(Z159&gt;=Instruções!$B$9,"Revisar","Descartar")))</f>
        <v/>
      </c>
      <c r="AB159" s="90"/>
    </row>
    <row r="160" customFormat="false" ht="51.75" hidden="false" customHeight="true" outlineLevel="0" collapsed="false">
      <c r="A160" s="139" t="s">
        <v>609</v>
      </c>
      <c r="B160" s="105" t="s">
        <v>249</v>
      </c>
      <c r="C160" s="106" t="s">
        <v>325</v>
      </c>
      <c r="D160" s="107" t="s">
        <v>326</v>
      </c>
      <c r="E160" s="108" t="s">
        <v>272</v>
      </c>
      <c r="F160" s="109" t="s">
        <v>610</v>
      </c>
      <c r="H160" s="83"/>
      <c r="I160" s="84"/>
      <c r="J160" s="84"/>
      <c r="K160" s="84"/>
      <c r="L160" s="84"/>
      <c r="M160" s="83"/>
      <c r="N160" s="84"/>
      <c r="O160" s="84"/>
      <c r="P160" s="84"/>
      <c r="Q160" s="84"/>
      <c r="R160" s="83"/>
      <c r="S160" s="84"/>
      <c r="T160" s="84"/>
      <c r="U160" s="84"/>
      <c r="V160" s="85"/>
      <c r="W160" s="86" t="str">
        <f aca="false">IF(COUNT(H160:L160)&lt;Instruções!$B$5,"",AVERAGE(H160:L160)/Instruções!$B$6-Instruções!$B$7)</f>
        <v/>
      </c>
      <c r="X160" s="87" t="str">
        <f aca="false">IF(COUNT(M160:Q160)&lt;Instruções!$B$5,"",AVERAGE(M160:Q160)/Instruções!$B$6-Instruções!$B$7)</f>
        <v/>
      </c>
      <c r="Y160" s="87" t="str">
        <f aca="false">IF(COUNT(R160:V160)&lt;Instruções!$B$5,"",AVERAGE(R160:V160)/Instruções!$B$6-Instruções!$B$7)</f>
        <v/>
      </c>
      <c r="Z160" s="88" t="str">
        <f aca="false">IF(OR(W160="",X160="",Y160=""),"",AVERAGE(W160:Y160))</f>
        <v/>
      </c>
      <c r="AA160" s="89" t="str">
        <f aca="false">IF(Z160="","",IF(Z160&gt;=Instruções!$B$8,"Manter",IF(Z160&gt;=Instruções!$B$9,"Revisar","Descartar")))</f>
        <v/>
      </c>
      <c r="AB160" s="110"/>
    </row>
    <row r="161" customFormat="false" ht="51.75" hidden="false" customHeight="true" outlineLevel="0" collapsed="false">
      <c r="A161" s="139" t="s">
        <v>611</v>
      </c>
      <c r="B161" s="78" t="s">
        <v>249</v>
      </c>
      <c r="C161" s="79" t="s">
        <v>325</v>
      </c>
      <c r="D161" s="80" t="s">
        <v>326</v>
      </c>
      <c r="E161" s="81" t="s">
        <v>272</v>
      </c>
      <c r="F161" s="82" t="s">
        <v>612</v>
      </c>
      <c r="H161" s="83"/>
      <c r="I161" s="84"/>
      <c r="J161" s="84"/>
      <c r="K161" s="84"/>
      <c r="L161" s="84"/>
      <c r="M161" s="83"/>
      <c r="N161" s="84"/>
      <c r="O161" s="84"/>
      <c r="P161" s="84"/>
      <c r="Q161" s="84"/>
      <c r="R161" s="83"/>
      <c r="S161" s="84"/>
      <c r="T161" s="84"/>
      <c r="U161" s="84"/>
      <c r="V161" s="85"/>
      <c r="W161" s="86" t="str">
        <f aca="false">IF(COUNT(H161:L161)&lt;Instruções!$B$5,"",AVERAGE(H161:L161)/Instruções!$B$6-Instruções!$B$7)</f>
        <v/>
      </c>
      <c r="X161" s="87" t="str">
        <f aca="false">IF(COUNT(M161:Q161)&lt;Instruções!$B$5,"",AVERAGE(M161:Q161)/Instruções!$B$6-Instruções!$B$7)</f>
        <v/>
      </c>
      <c r="Y161" s="87" t="str">
        <f aca="false">IF(COUNT(R161:V161)&lt;Instruções!$B$5,"",AVERAGE(R161:V161)/Instruções!$B$6-Instruções!$B$7)</f>
        <v/>
      </c>
      <c r="Z161" s="88" t="str">
        <f aca="false">IF(OR(W161="",X161="",Y161=""),"",AVERAGE(W161:Y161))</f>
        <v/>
      </c>
      <c r="AA161" s="89" t="str">
        <f aca="false">IF(Z161="","",IF(Z161&gt;=Instruções!$B$8,"Manter",IF(Z161&gt;=Instruções!$B$9,"Revisar","Descartar")))</f>
        <v/>
      </c>
      <c r="AB161" s="90"/>
    </row>
    <row r="162" customFormat="false" ht="51.75" hidden="false" customHeight="true" outlineLevel="0" collapsed="false">
      <c r="A162" s="139" t="s">
        <v>613</v>
      </c>
      <c r="B162" s="105" t="s">
        <v>249</v>
      </c>
      <c r="C162" s="106" t="s">
        <v>325</v>
      </c>
      <c r="D162" s="107" t="s">
        <v>326</v>
      </c>
      <c r="E162" s="108" t="s">
        <v>272</v>
      </c>
      <c r="F162" s="109" t="s">
        <v>614</v>
      </c>
      <c r="H162" s="83"/>
      <c r="I162" s="84"/>
      <c r="J162" s="84"/>
      <c r="K162" s="84"/>
      <c r="L162" s="84"/>
      <c r="M162" s="83"/>
      <c r="N162" s="84"/>
      <c r="O162" s="84"/>
      <c r="P162" s="84"/>
      <c r="Q162" s="84"/>
      <c r="R162" s="83"/>
      <c r="S162" s="84"/>
      <c r="T162" s="84"/>
      <c r="U162" s="84"/>
      <c r="V162" s="85"/>
      <c r="W162" s="86" t="str">
        <f aca="false">IF(COUNT(H162:L162)&lt;Instruções!$B$5,"",AVERAGE(H162:L162)/Instruções!$B$6-Instruções!$B$7)</f>
        <v/>
      </c>
      <c r="X162" s="87" t="str">
        <f aca="false">IF(COUNT(M162:Q162)&lt;Instruções!$B$5,"",AVERAGE(M162:Q162)/Instruções!$B$6-Instruções!$B$7)</f>
        <v/>
      </c>
      <c r="Y162" s="87" t="str">
        <f aca="false">IF(COUNT(R162:V162)&lt;Instruções!$B$5,"",AVERAGE(R162:V162)/Instruções!$B$6-Instruções!$B$7)</f>
        <v/>
      </c>
      <c r="Z162" s="88" t="str">
        <f aca="false">IF(OR(W162="",X162="",Y162=""),"",AVERAGE(W162:Y162))</f>
        <v/>
      </c>
      <c r="AA162" s="89" t="str">
        <f aca="false">IF(Z162="","",IF(Z162&gt;=Instruções!$B$8,"Manter",IF(Z162&gt;=Instruções!$B$9,"Revisar","Descartar")))</f>
        <v/>
      </c>
      <c r="AB162" s="110"/>
    </row>
    <row r="163" customFormat="false" ht="37.5" hidden="false" customHeight="true" outlineLevel="0" collapsed="false">
      <c r="A163" s="139" t="s">
        <v>615</v>
      </c>
      <c r="B163" s="78" t="s">
        <v>249</v>
      </c>
      <c r="C163" s="79" t="s">
        <v>325</v>
      </c>
      <c r="D163" s="80" t="s">
        <v>326</v>
      </c>
      <c r="E163" s="81" t="s">
        <v>272</v>
      </c>
      <c r="F163" s="82" t="s">
        <v>616</v>
      </c>
      <c r="H163" s="83"/>
      <c r="I163" s="84"/>
      <c r="J163" s="84"/>
      <c r="K163" s="84"/>
      <c r="L163" s="84"/>
      <c r="M163" s="83"/>
      <c r="N163" s="84"/>
      <c r="O163" s="84"/>
      <c r="P163" s="84"/>
      <c r="Q163" s="84"/>
      <c r="R163" s="83"/>
      <c r="S163" s="84"/>
      <c r="T163" s="84"/>
      <c r="U163" s="84"/>
      <c r="V163" s="85"/>
      <c r="W163" s="86" t="str">
        <f aca="false">IF(COUNT(H163:L163)&lt;Instruções!$B$5,"",AVERAGE(H163:L163)/Instruções!$B$6-Instruções!$B$7)</f>
        <v/>
      </c>
      <c r="X163" s="87" t="str">
        <f aca="false">IF(COUNT(M163:Q163)&lt;Instruções!$B$5,"",AVERAGE(M163:Q163)/Instruções!$B$6-Instruções!$B$7)</f>
        <v/>
      </c>
      <c r="Y163" s="87" t="str">
        <f aca="false">IF(COUNT(R163:V163)&lt;Instruções!$B$5,"",AVERAGE(R163:V163)/Instruções!$B$6-Instruções!$B$7)</f>
        <v/>
      </c>
      <c r="Z163" s="88" t="str">
        <f aca="false">IF(OR(W163="",X163="",Y163=""),"",AVERAGE(W163:Y163))</f>
        <v/>
      </c>
      <c r="AA163" s="89" t="str">
        <f aca="false">IF(Z163="","",IF(Z163&gt;=Instruções!$B$8,"Manter",IF(Z163&gt;=Instruções!$B$9,"Revisar","Descartar")))</f>
        <v/>
      </c>
      <c r="AB163" s="90"/>
    </row>
    <row r="164" customFormat="false" ht="51.75" hidden="false" customHeight="true" outlineLevel="0" collapsed="false">
      <c r="A164" s="139" t="s">
        <v>617</v>
      </c>
      <c r="B164" s="105" t="s">
        <v>249</v>
      </c>
      <c r="C164" s="106" t="s">
        <v>325</v>
      </c>
      <c r="D164" s="107" t="s">
        <v>326</v>
      </c>
      <c r="E164" s="108" t="s">
        <v>272</v>
      </c>
      <c r="F164" s="109" t="s">
        <v>618</v>
      </c>
      <c r="H164" s="83"/>
      <c r="I164" s="84"/>
      <c r="J164" s="84"/>
      <c r="K164" s="84"/>
      <c r="L164" s="84"/>
      <c r="M164" s="83"/>
      <c r="N164" s="84"/>
      <c r="O164" s="84"/>
      <c r="P164" s="84"/>
      <c r="Q164" s="84"/>
      <c r="R164" s="83"/>
      <c r="S164" s="84"/>
      <c r="T164" s="84"/>
      <c r="U164" s="84"/>
      <c r="V164" s="85"/>
      <c r="W164" s="86" t="str">
        <f aca="false">IF(COUNT(H164:L164)&lt;Instruções!$B$5,"",AVERAGE(H164:L164)/Instruções!$B$6-Instruções!$B$7)</f>
        <v/>
      </c>
      <c r="X164" s="87" t="str">
        <f aca="false">IF(COUNT(M164:Q164)&lt;Instruções!$B$5,"",AVERAGE(M164:Q164)/Instruções!$B$6-Instruções!$B$7)</f>
        <v/>
      </c>
      <c r="Y164" s="87" t="str">
        <f aca="false">IF(COUNT(R164:V164)&lt;Instruções!$B$5,"",AVERAGE(R164:V164)/Instruções!$B$6-Instruções!$B$7)</f>
        <v/>
      </c>
      <c r="Z164" s="88" t="str">
        <f aca="false">IF(OR(W164="",X164="",Y164=""),"",AVERAGE(W164:Y164))</f>
        <v/>
      </c>
      <c r="AA164" s="89" t="str">
        <f aca="false">IF(Z164="","",IF(Z164&gt;=Instruções!$B$8,"Manter",IF(Z164&gt;=Instruções!$B$9,"Revisar","Descartar")))</f>
        <v/>
      </c>
      <c r="AB164" s="110"/>
    </row>
    <row r="165" customFormat="false" ht="37.5" hidden="false" customHeight="true" outlineLevel="0" collapsed="false">
      <c r="A165" s="139" t="s">
        <v>619</v>
      </c>
      <c r="B165" s="78" t="s">
        <v>249</v>
      </c>
      <c r="C165" s="79" t="s">
        <v>325</v>
      </c>
      <c r="D165" s="80" t="s">
        <v>326</v>
      </c>
      <c r="E165" s="81" t="s">
        <v>272</v>
      </c>
      <c r="F165" s="82" t="s">
        <v>620</v>
      </c>
      <c r="H165" s="83"/>
      <c r="I165" s="84"/>
      <c r="J165" s="84"/>
      <c r="K165" s="84"/>
      <c r="L165" s="84"/>
      <c r="M165" s="83"/>
      <c r="N165" s="84"/>
      <c r="O165" s="84"/>
      <c r="P165" s="84"/>
      <c r="Q165" s="84"/>
      <c r="R165" s="83"/>
      <c r="S165" s="84"/>
      <c r="T165" s="84"/>
      <c r="U165" s="84"/>
      <c r="V165" s="85"/>
      <c r="W165" s="86" t="str">
        <f aca="false">IF(COUNT(H165:L165)&lt;Instruções!$B$5,"",AVERAGE(H165:L165)/Instruções!$B$6-Instruções!$B$7)</f>
        <v/>
      </c>
      <c r="X165" s="87" t="str">
        <f aca="false">IF(COUNT(M165:Q165)&lt;Instruções!$B$5,"",AVERAGE(M165:Q165)/Instruções!$B$6-Instruções!$B$7)</f>
        <v/>
      </c>
      <c r="Y165" s="87" t="str">
        <f aca="false">IF(COUNT(R165:V165)&lt;Instruções!$B$5,"",AVERAGE(R165:V165)/Instruções!$B$6-Instruções!$B$7)</f>
        <v/>
      </c>
      <c r="Z165" s="88" t="str">
        <f aca="false">IF(OR(W165="",X165="",Y165=""),"",AVERAGE(W165:Y165))</f>
        <v/>
      </c>
      <c r="AA165" s="89" t="str">
        <f aca="false">IF(Z165="","",IF(Z165&gt;=Instruções!$B$8,"Manter",IF(Z165&gt;=Instruções!$B$9,"Revisar","Descartar")))</f>
        <v/>
      </c>
      <c r="AB165" s="90"/>
    </row>
  </sheetData>
  <autoFilter ref="A5:AB165"/>
  <mergeCells count="20">
    <mergeCell ref="A4:A5"/>
    <mergeCell ref="B4:B5"/>
    <mergeCell ref="C4:C5"/>
    <mergeCell ref="D4:D5"/>
    <mergeCell ref="E4:E5"/>
    <mergeCell ref="F4:F5"/>
    <mergeCell ref="H4:L4"/>
    <mergeCell ref="M4:Q4"/>
    <mergeCell ref="R4:V4"/>
    <mergeCell ref="W4:W5"/>
    <mergeCell ref="X4:X5"/>
    <mergeCell ref="Y4:Y5"/>
    <mergeCell ref="Z4:Z5"/>
    <mergeCell ref="AA4:AA5"/>
    <mergeCell ref="AB4:AB5"/>
    <mergeCell ref="A6:F6"/>
    <mergeCell ref="A43:F43"/>
    <mergeCell ref="A82:F82"/>
    <mergeCell ref="A118:F118"/>
    <mergeCell ref="A156:F156"/>
  </mergeCells>
  <conditionalFormatting sqref="H6:V165">
    <cfRule type="expression" priority="2" aboveAverage="0" equalAverage="0" bottom="0" percent="0" rank="0" text="" dxfId="2">
      <formula>AND(ISNUMBER(H6),H6&lt;=3)</formula>
    </cfRule>
  </conditionalFormatting>
  <conditionalFormatting sqref="AB6:AB165">
    <cfRule type="expression" priority="3" aboveAverage="0" equalAverage="0" bottom="0" percent="0" rank="0" text="" dxfId="24">
      <formula>AND(AB6="",COUNTIF($H6:$V6,"&lt;=3")&gt;0)</formula>
    </cfRule>
  </conditionalFormatting>
  <conditionalFormatting sqref="AA6:AA165">
    <cfRule type="expression" priority="4" aboveAverage="0" equalAverage="0" bottom="0" percent="0" rank="0" text="" dxfId="0">
      <formula>AA6="Manter"</formula>
    </cfRule>
    <cfRule type="expression" priority="5" aboveAverage="0" equalAverage="0" bottom="0" percent="0" rank="0" text="" dxfId="1">
      <formula>AA6="Revisar"</formula>
    </cfRule>
    <cfRule type="expression" priority="6" aboveAverage="0" equalAverage="0" bottom="0" percent="0" rank="0" text="" dxfId="2">
      <formula>AA6="Descartar"</formula>
    </cfRule>
  </conditionalFormatting>
  <dataValidations count="1">
    <dataValidation allowBlank="true" error="Use um número inteiro de 1 a 5." errorStyle="stop" errorTitle="Nota inválida" operator="between" prompt="1 pouquíssimo · 2 pouco · 3 médio · 4 muito · 5 muitíssimo" promptTitle="Nota de 1 a 5" showDropDown="false" showErrorMessage="true" showInputMessage="true" sqref="H6:V165" type="whole">
      <formula1>1</formula1>
      <formula2>5</formula2>
    </dataValidation>
  </dataValidations>
  <printOptions headings="false" gridLines="false" gridLinesSet="true" horizontalCentered="false" verticalCentered="false"/>
  <pageMargins left="0.4" right="0.4" top="1" bottom="1" header="0.511811023622047" footer="0.511805555555556"/>
  <pageSetup paperSize="9" scale="100" fitToWidth="1" fitToHeight="0" pageOrder="downThenOver" orientation="landscape" blackAndWhite="false" draft="false" cellComments="none" horizontalDpi="300" verticalDpi="300" copies="1"/>
  <headerFooter differentFirst="false" differentOddEven="false">
    <oddHeader/>
    <oddFooter>&amp;CPágina &amp;P de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true"/>
  </sheetPr>
  <dimension ref="A1: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1" width="14"/>
  </cols>
  <sheetData>
    <row r="1" customFormat="false" ht="27.75" hidden="false" customHeight="true" outlineLevel="0" collapsed="false">
      <c r="A1" s="2" t="s">
        <v>621</v>
      </c>
    </row>
    <row r="3" customFormat="false" ht="43.5" hidden="false" customHeight="true" outlineLevel="0" collapsed="false">
      <c r="A3" s="5" t="s">
        <v>116</v>
      </c>
      <c r="B3" s="5" t="s">
        <v>206</v>
      </c>
      <c r="C3" s="5" t="s">
        <v>208</v>
      </c>
      <c r="D3" s="5" t="s">
        <v>260</v>
      </c>
      <c r="E3" s="5" t="s">
        <v>261</v>
      </c>
      <c r="F3" s="5" t="s">
        <v>262</v>
      </c>
      <c r="G3" s="5" t="s">
        <v>212</v>
      </c>
      <c r="H3" s="140" t="s">
        <v>622</v>
      </c>
      <c r="I3" s="141" t="s">
        <v>623</v>
      </c>
      <c r="J3" s="142" t="s">
        <v>624</v>
      </c>
    </row>
    <row r="4" customFormat="false" ht="24" hidden="false" customHeight="true" outlineLevel="0" collapsed="false">
      <c r="A4" s="53" t="s">
        <v>230</v>
      </c>
      <c r="B4" s="143" t="n">
        <f aca="false">COUNTIF('Avaliação CVC'!$B$6:$B$165,A4)</f>
        <v>36</v>
      </c>
      <c r="C4" s="143" t="n">
        <f aca="false">COUNTIFS('Avaliação CVC'!$B$6:$B$165,A4,'Avaliação CVC'!$Z$6:$Z$165,"&gt;-1")</f>
        <v>0</v>
      </c>
      <c r="D4" s="144" t="str">
        <f aca="false">IFERROR(AVERAGEIFS('Avaliação CVC'!$W$6:$W$165,'Avaliação CVC'!$B$6:$B$165,A4),"")</f>
        <v/>
      </c>
      <c r="E4" s="144" t="str">
        <f aca="false">IFERROR(AVERAGEIFS('Avaliação CVC'!$X$6:$X$165,'Avaliação CVC'!$B$6:$B$165,A4),"")</f>
        <v/>
      </c>
      <c r="F4" s="144" t="str">
        <f aca="false">IFERROR(AVERAGEIFS('Avaliação CVC'!$Y$6:$Y$165,'Avaliação CVC'!$B$6:$B$165,A4),"")</f>
        <v/>
      </c>
      <c r="G4" s="144" t="str">
        <f aca="false">IFERROR(AVERAGEIFS('Avaliação CVC'!$Z$6:$Z$165,'Avaliação CVC'!$B$6:$B$165,A4),"")</f>
        <v/>
      </c>
      <c r="H4" s="143" t="n">
        <f aca="false">COUNTIFS('Avaliação CVC'!$B$6:$B$165,A4,'Avaliação CVC'!$AA$6:$AA$165,"Manter")</f>
        <v>0</v>
      </c>
      <c r="I4" s="143" t="n">
        <f aca="false">COUNTIFS('Avaliação CVC'!$B$6:$B$165,A4,'Avaliação CVC'!$AA$6:$AA$165,"Revisar")</f>
        <v>0</v>
      </c>
      <c r="J4" s="143" t="n">
        <f aca="false">COUNTIFS('Avaliação CVC'!$B$6:$B$165,A4,'Avaliação CVC'!$AA$6:$AA$165,"Descartar")</f>
        <v>0</v>
      </c>
    </row>
    <row r="5" customFormat="false" ht="24" hidden="false" customHeight="true" outlineLevel="0" collapsed="false">
      <c r="A5" s="55" t="s">
        <v>235</v>
      </c>
      <c r="B5" s="143" t="n">
        <f aca="false">COUNTIF('Avaliação CVC'!$B$6:$B$165,A5)</f>
        <v>38</v>
      </c>
      <c r="C5" s="143" t="n">
        <f aca="false">COUNTIFS('Avaliação CVC'!$B$6:$B$165,A5,'Avaliação CVC'!$Z$6:$Z$165,"&gt;-1")</f>
        <v>0</v>
      </c>
      <c r="D5" s="144" t="str">
        <f aca="false">IFERROR(AVERAGEIFS('Avaliação CVC'!$W$6:$W$165,'Avaliação CVC'!$B$6:$B$165,A5),"")</f>
        <v/>
      </c>
      <c r="E5" s="144" t="str">
        <f aca="false">IFERROR(AVERAGEIFS('Avaliação CVC'!$X$6:$X$165,'Avaliação CVC'!$B$6:$B$165,A5),"")</f>
        <v/>
      </c>
      <c r="F5" s="144" t="str">
        <f aca="false">IFERROR(AVERAGEIFS('Avaliação CVC'!$Y$6:$Y$165,'Avaliação CVC'!$B$6:$B$165,A5),"")</f>
        <v/>
      </c>
      <c r="G5" s="144" t="str">
        <f aca="false">IFERROR(AVERAGEIFS('Avaliação CVC'!$Z$6:$Z$165,'Avaliação CVC'!$B$6:$B$165,A5),"")</f>
        <v/>
      </c>
      <c r="H5" s="143" t="n">
        <f aca="false">COUNTIFS('Avaliação CVC'!$B$6:$B$165,A5,'Avaliação CVC'!$AA$6:$AA$165,"Manter")</f>
        <v>0</v>
      </c>
      <c r="I5" s="143" t="n">
        <f aca="false">COUNTIFS('Avaliação CVC'!$B$6:$B$165,A5,'Avaliação CVC'!$AA$6:$AA$165,"Revisar")</f>
        <v>0</v>
      </c>
      <c r="J5" s="143" t="n">
        <f aca="false">COUNTIFS('Avaliação CVC'!$B$6:$B$165,A5,'Avaliação CVC'!$AA$6:$AA$165,"Descartar")</f>
        <v>0</v>
      </c>
    </row>
    <row r="6" customFormat="false" ht="24" hidden="false" customHeight="true" outlineLevel="0" collapsed="false">
      <c r="A6" s="56" t="s">
        <v>240</v>
      </c>
      <c r="B6" s="143" t="n">
        <f aca="false">COUNTIF('Avaliação CVC'!$B$6:$B$165,A6)</f>
        <v>35</v>
      </c>
      <c r="C6" s="143" t="n">
        <f aca="false">COUNTIFS('Avaliação CVC'!$B$6:$B$165,A6,'Avaliação CVC'!$Z$6:$Z$165,"&gt;-1")</f>
        <v>0</v>
      </c>
      <c r="D6" s="144" t="str">
        <f aca="false">IFERROR(AVERAGEIFS('Avaliação CVC'!$W$6:$W$165,'Avaliação CVC'!$B$6:$B$165,A6),"")</f>
        <v/>
      </c>
      <c r="E6" s="144" t="str">
        <f aca="false">IFERROR(AVERAGEIFS('Avaliação CVC'!$X$6:$X$165,'Avaliação CVC'!$B$6:$B$165,A6),"")</f>
        <v/>
      </c>
      <c r="F6" s="144" t="str">
        <f aca="false">IFERROR(AVERAGEIFS('Avaliação CVC'!$Y$6:$Y$165,'Avaliação CVC'!$B$6:$B$165,A6),"")</f>
        <v/>
      </c>
      <c r="G6" s="144" t="str">
        <f aca="false">IFERROR(AVERAGEIFS('Avaliação CVC'!$Z$6:$Z$165,'Avaliação CVC'!$B$6:$B$165,A6),"")</f>
        <v/>
      </c>
      <c r="H6" s="143" t="n">
        <f aca="false">COUNTIFS('Avaliação CVC'!$B$6:$B$165,A6,'Avaliação CVC'!$AA$6:$AA$165,"Manter")</f>
        <v>0</v>
      </c>
      <c r="I6" s="143" t="n">
        <f aca="false">COUNTIFS('Avaliação CVC'!$B$6:$B$165,A6,'Avaliação CVC'!$AA$6:$AA$165,"Revisar")</f>
        <v>0</v>
      </c>
      <c r="J6" s="143" t="n">
        <f aca="false">COUNTIFS('Avaliação CVC'!$B$6:$B$165,A6,'Avaliação CVC'!$AA$6:$AA$165,"Descartar")</f>
        <v>0</v>
      </c>
    </row>
    <row r="7" customFormat="false" ht="24" hidden="false" customHeight="true" outlineLevel="0" collapsed="false">
      <c r="A7" s="57" t="s">
        <v>245</v>
      </c>
      <c r="B7" s="143" t="n">
        <f aca="false">COUNTIF('Avaliação CVC'!$B$6:$B$165,A7)</f>
        <v>37</v>
      </c>
      <c r="C7" s="143" t="n">
        <f aca="false">COUNTIFS('Avaliação CVC'!$B$6:$B$165,A7,'Avaliação CVC'!$Z$6:$Z$165,"&gt;-1")</f>
        <v>0</v>
      </c>
      <c r="D7" s="144" t="str">
        <f aca="false">IFERROR(AVERAGEIFS('Avaliação CVC'!$W$6:$W$165,'Avaliação CVC'!$B$6:$B$165,A7),"")</f>
        <v/>
      </c>
      <c r="E7" s="144" t="str">
        <f aca="false">IFERROR(AVERAGEIFS('Avaliação CVC'!$X$6:$X$165,'Avaliação CVC'!$B$6:$B$165,A7),"")</f>
        <v/>
      </c>
      <c r="F7" s="144" t="str">
        <f aca="false">IFERROR(AVERAGEIFS('Avaliação CVC'!$Y$6:$Y$165,'Avaliação CVC'!$B$6:$B$165,A7),"")</f>
        <v/>
      </c>
      <c r="G7" s="144" t="str">
        <f aca="false">IFERROR(AVERAGEIFS('Avaliação CVC'!$Z$6:$Z$165,'Avaliação CVC'!$B$6:$B$165,A7),"")</f>
        <v/>
      </c>
      <c r="H7" s="143" t="n">
        <f aca="false">COUNTIFS('Avaliação CVC'!$B$6:$B$165,A7,'Avaliação CVC'!$AA$6:$AA$165,"Manter")</f>
        <v>0</v>
      </c>
      <c r="I7" s="143" t="n">
        <f aca="false">COUNTIFS('Avaliação CVC'!$B$6:$B$165,A7,'Avaliação CVC'!$AA$6:$AA$165,"Revisar")</f>
        <v>0</v>
      </c>
      <c r="J7" s="143" t="n">
        <f aca="false">COUNTIFS('Avaliação CVC'!$B$6:$B$165,A7,'Avaliação CVC'!$AA$6:$AA$165,"Descartar")</f>
        <v>0</v>
      </c>
    </row>
    <row r="8" customFormat="false" ht="24" hidden="false" customHeight="true" outlineLevel="0" collapsed="false">
      <c r="A8" s="58" t="s">
        <v>249</v>
      </c>
      <c r="B8" s="143" t="n">
        <f aca="false">COUNTIF('Avaliação CVC'!$B$6:$B$165,A8)</f>
        <v>9</v>
      </c>
      <c r="C8" s="143" t="n">
        <f aca="false">COUNTIFS('Avaliação CVC'!$B$6:$B$165,A8,'Avaliação CVC'!$Z$6:$Z$165,"&gt;-1")</f>
        <v>0</v>
      </c>
      <c r="D8" s="144" t="str">
        <f aca="false">IFERROR(AVERAGEIFS('Avaliação CVC'!$W$6:$W$165,'Avaliação CVC'!$B$6:$B$165,A8),"")</f>
        <v/>
      </c>
      <c r="E8" s="144" t="str">
        <f aca="false">IFERROR(AVERAGEIFS('Avaliação CVC'!$X$6:$X$165,'Avaliação CVC'!$B$6:$B$165,A8),"")</f>
        <v/>
      </c>
      <c r="F8" s="144" t="str">
        <f aca="false">IFERROR(AVERAGEIFS('Avaliação CVC'!$Y$6:$Y$165,'Avaliação CVC'!$B$6:$B$165,A8),"")</f>
        <v/>
      </c>
      <c r="G8" s="144" t="str">
        <f aca="false">IFERROR(AVERAGEIFS('Avaliação CVC'!$Z$6:$Z$165,'Avaliação CVC'!$B$6:$B$165,A8),"")</f>
        <v/>
      </c>
      <c r="H8" s="143" t="n">
        <f aca="false">COUNTIFS('Avaliação CVC'!$B$6:$B$165,A8,'Avaliação CVC'!$AA$6:$AA$165,"Manter")</f>
        <v>0</v>
      </c>
      <c r="I8" s="143" t="n">
        <f aca="false">COUNTIFS('Avaliação CVC'!$B$6:$B$165,A8,'Avaliação CVC'!$AA$6:$AA$165,"Revisar")</f>
        <v>0</v>
      </c>
      <c r="J8" s="143" t="n">
        <f aca="false">COUNTIFS('Avaliação CVC'!$B$6:$B$165,A8,'Avaliação CVC'!$AA$6:$AA$165,"Descartar")</f>
        <v>0</v>
      </c>
    </row>
    <row r="9" customFormat="false" ht="24" hidden="false" customHeight="true" outlineLevel="0" collapsed="false">
      <c r="A9" s="145" t="s">
        <v>254</v>
      </c>
      <c r="B9" s="145" t="n">
        <f aca="false">SUM(B4:B8)</f>
        <v>155</v>
      </c>
      <c r="C9" s="145" t="n">
        <f aca="false">SUM(C4:C8)</f>
        <v>0</v>
      </c>
      <c r="D9" s="146" t="str">
        <f aca="false">IFERROR(AVERAGE('Avaliação CVC'!$W$6:$W$165),"")</f>
        <v/>
      </c>
      <c r="E9" s="146" t="str">
        <f aca="false">IFERROR(AVERAGE('Avaliação CVC'!$X$6:$X$165),"")</f>
        <v/>
      </c>
      <c r="F9" s="146" t="str">
        <f aca="false">IFERROR(AVERAGE('Avaliação CVC'!$Y$6:$Y$165),"")</f>
        <v/>
      </c>
      <c r="G9" s="146" t="str">
        <f aca="false">IFERROR(AVERAGE('Avaliação CVC'!$Z$6:$Z$165),"")</f>
        <v/>
      </c>
      <c r="H9" s="145" t="n">
        <f aca="false">SUM(H4:H8)</f>
        <v>0</v>
      </c>
      <c r="I9" s="145" t="n">
        <f aca="false">SUM(I4:I8)</f>
        <v>0</v>
      </c>
      <c r="J9" s="145" t="n">
        <f aca="false">SUM(J4:J8)</f>
        <v>0</v>
      </c>
    </row>
    <row r="11" customFormat="false" ht="24" hidden="false" customHeight="true" outlineLevel="0" collapsed="false">
      <c r="A11" s="147" t="s">
        <v>625</v>
      </c>
    </row>
    <row r="12" customFormat="false" ht="21.75" hidden="false" customHeight="true" outlineLevel="0" collapsed="false">
      <c r="A12" s="5" t="s">
        <v>116</v>
      </c>
      <c r="B12" s="5" t="s">
        <v>327</v>
      </c>
      <c r="C12" s="5" t="s">
        <v>272</v>
      </c>
      <c r="D12" s="5" t="s">
        <v>275</v>
      </c>
      <c r="E12" s="5" t="s">
        <v>278</v>
      </c>
      <c r="F12" s="5" t="s">
        <v>350</v>
      </c>
    </row>
    <row r="13" customFormat="false" ht="21.75" hidden="false" customHeight="true" outlineLevel="0" collapsed="false">
      <c r="A13" s="53" t="s">
        <v>230</v>
      </c>
      <c r="B13" s="143" t="n">
        <f aca="false">COUNTIFS('Avaliação CVC'!$B$6:$B$165,$A13,'Avaliação CVC'!$E$6:$E$165,"*v1*")</f>
        <v>11</v>
      </c>
      <c r="C13" s="143" t="n">
        <f aca="false">COUNTIFS('Avaliação CVC'!$B$6:$B$165,$A13,'Avaliação CVC'!$E$6:$E$165,"*v2*")</f>
        <v>8</v>
      </c>
      <c r="D13" s="143" t="n">
        <f aca="false">COUNTIFS('Avaliação CVC'!$B$6:$B$165,$A13,'Avaliação CVC'!$E$6:$E$165,"*v3*")</f>
        <v>10</v>
      </c>
      <c r="E13" s="143" t="n">
        <f aca="false">COUNTIFS('Avaliação CVC'!$B$6:$B$165,$A13,'Avaliação CVC'!$E$6:$E$165,"*v4*")</f>
        <v>10</v>
      </c>
      <c r="F13" s="143" t="n">
        <f aca="false">COUNTIFS('Avaliação CVC'!$B$6:$B$165,$A13,'Avaliação CVC'!$E$6:$E$165,"*v5*")</f>
        <v>10</v>
      </c>
    </row>
    <row r="14" customFormat="false" ht="21.75" hidden="false" customHeight="true" outlineLevel="0" collapsed="false">
      <c r="A14" s="55" t="s">
        <v>235</v>
      </c>
      <c r="B14" s="143" t="n">
        <f aca="false">COUNTIFS('Avaliação CVC'!$B$6:$B$165,$A14,'Avaliação CVC'!$E$6:$E$165,"*v1*")</f>
        <v>10</v>
      </c>
      <c r="C14" s="143" t="n">
        <f aca="false">COUNTIFS('Avaliação CVC'!$B$6:$B$165,$A14,'Avaliação CVC'!$E$6:$E$165,"*v2*")</f>
        <v>9</v>
      </c>
      <c r="D14" s="143" t="n">
        <f aca="false">COUNTIFS('Avaliação CVC'!$B$6:$B$165,$A14,'Avaliação CVC'!$E$6:$E$165,"*v3*")</f>
        <v>10</v>
      </c>
      <c r="E14" s="143" t="n">
        <f aca="false">COUNTIFS('Avaliação CVC'!$B$6:$B$165,$A14,'Avaliação CVC'!$E$6:$E$165,"*v4*")</f>
        <v>10</v>
      </c>
      <c r="F14" s="143" t="n">
        <f aca="false">COUNTIFS('Avaliação CVC'!$B$6:$B$165,$A14,'Avaliação CVC'!$E$6:$E$165,"*v5*")</f>
        <v>10</v>
      </c>
    </row>
    <row r="15" customFormat="false" ht="21.75" hidden="false" customHeight="true" outlineLevel="0" collapsed="false">
      <c r="A15" s="56" t="s">
        <v>240</v>
      </c>
      <c r="B15" s="143" t="n">
        <f aca="false">COUNTIFS('Avaliação CVC'!$B$6:$B$165,$A15,'Avaliação CVC'!$E$6:$E$165,"*v1*")</f>
        <v>10</v>
      </c>
      <c r="C15" s="143" t="n">
        <f aca="false">COUNTIFS('Avaliação CVC'!$B$6:$B$165,$A15,'Avaliação CVC'!$E$6:$E$165,"*v2*")</f>
        <v>9</v>
      </c>
      <c r="D15" s="143" t="n">
        <f aca="false">COUNTIFS('Avaliação CVC'!$B$6:$B$165,$A15,'Avaliação CVC'!$E$6:$E$165,"*v3*")</f>
        <v>10</v>
      </c>
      <c r="E15" s="143" t="n">
        <f aca="false">COUNTIFS('Avaliação CVC'!$B$6:$B$165,$A15,'Avaliação CVC'!$E$6:$E$165,"*v4*")</f>
        <v>10</v>
      </c>
      <c r="F15" s="143" t="n">
        <f aca="false">COUNTIFS('Avaliação CVC'!$B$6:$B$165,$A15,'Avaliação CVC'!$E$6:$E$165,"*v5*")</f>
        <v>10</v>
      </c>
    </row>
    <row r="16" customFormat="false" ht="21.75" hidden="false" customHeight="true" outlineLevel="0" collapsed="false">
      <c r="A16" s="57" t="s">
        <v>245</v>
      </c>
      <c r="B16" s="143" t="n">
        <f aca="false">COUNTIFS('Avaliação CVC'!$B$6:$B$165,$A16,'Avaliação CVC'!$E$6:$E$165,"*v1*")</f>
        <v>10</v>
      </c>
      <c r="C16" s="143" t="n">
        <f aca="false">COUNTIFS('Avaliação CVC'!$B$6:$B$165,$A16,'Avaliação CVC'!$E$6:$E$165,"*v2*")</f>
        <v>9</v>
      </c>
      <c r="D16" s="143" t="n">
        <f aca="false">COUNTIFS('Avaliação CVC'!$B$6:$B$165,$A16,'Avaliação CVC'!$E$6:$E$165,"*v3*")</f>
        <v>10</v>
      </c>
      <c r="E16" s="143" t="n">
        <f aca="false">COUNTIFS('Avaliação CVC'!$B$6:$B$165,$A16,'Avaliação CVC'!$E$6:$E$165,"*v4*")</f>
        <v>10</v>
      </c>
      <c r="F16" s="143" t="n">
        <f aca="false">COUNTIFS('Avaliação CVC'!$B$6:$B$165,$A16,'Avaliação CVC'!$E$6:$E$165,"*v5*")</f>
        <v>10</v>
      </c>
    </row>
    <row r="17" customFormat="false" ht="21.75" hidden="false" customHeight="true" outlineLevel="0" collapsed="false">
      <c r="A17" s="58" t="s">
        <v>249</v>
      </c>
      <c r="B17" s="143" t="n">
        <f aca="false">COUNTIFS('Avaliação CVC'!$B$6:$B$165,$A17,'Avaliação CVC'!$E$6:$E$165,"*v1*")</f>
        <v>0</v>
      </c>
      <c r="C17" s="143" t="n">
        <f aca="false">COUNTIFS('Avaliação CVC'!$B$6:$B$165,$A17,'Avaliação CVC'!$E$6:$E$165,"*v2*")</f>
        <v>9</v>
      </c>
      <c r="D17" s="143" t="n">
        <f aca="false">COUNTIFS('Avaliação CVC'!$B$6:$B$165,$A17,'Avaliação CVC'!$E$6:$E$165,"*v3*")</f>
        <v>0</v>
      </c>
      <c r="E17" s="143" t="n">
        <f aca="false">COUNTIFS('Avaliação CVC'!$B$6:$B$165,$A17,'Avaliação CVC'!$E$6:$E$165,"*v4*")</f>
        <v>0</v>
      </c>
      <c r="F17" s="143" t="n">
        <f aca="false">COUNTIFS('Avaliação CVC'!$B$6:$B$165,$A17,'Avaliação CVC'!$E$6:$E$165,"*v5*")</f>
        <v>0</v>
      </c>
    </row>
    <row r="18" customFormat="false" ht="21.75" hidden="false" customHeight="true" outlineLevel="0" collapsed="false">
      <c r="A18" s="148" t="s">
        <v>254</v>
      </c>
      <c r="B18" s="148" t="n">
        <f aca="false">SUM(B13:B17)</f>
        <v>41</v>
      </c>
      <c r="C18" s="148" t="n">
        <f aca="false">SUM(C13:C17)</f>
        <v>44</v>
      </c>
      <c r="D18" s="148" t="n">
        <f aca="false">SUM(D13:D17)</f>
        <v>40</v>
      </c>
      <c r="E18" s="148" t="n">
        <f aca="false">SUM(E13:E17)</f>
        <v>40</v>
      </c>
      <c r="F18" s="148" t="n">
        <f aca="false">SUM(F13:F17)</f>
        <v>40</v>
      </c>
    </row>
    <row r="20" customFormat="false" ht="15" hidden="false" customHeight="true" outlineLevel="0" collapsed="false">
      <c r="A20" s="149" t="s">
        <v>626</v>
      </c>
    </row>
  </sheetData>
  <conditionalFormatting sqref="D4:G9">
    <cfRule type="expression" priority="2" aboveAverage="0" equalAverage="0" bottom="0" percent="0" rank="0" text="" dxfId="25">
      <formula>AND(ISNUMBER(D4),D4&gt;=Instruções!$B$8)</formula>
    </cfRule>
    <cfRule type="expression" priority="3" aboveAverage="0" equalAverage="0" bottom="0" percent="0" rank="0" text="" dxfId="26">
      <formula>AND(ISNUMBER(D4),D4&gt;=Instruções!$B$9)</formula>
    </cfRule>
    <cfRule type="expression" priority="4" aboveAverage="0" equalAverage="0" bottom="0" percent="0" rank="0" text="" dxfId="27">
      <formula>ISNUMBER(D4)</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2026-10-22T13:31:17Z</dcterms:created>
  <dc:creator>openpyxl</dc:creator>
  <dc:description/>
  <dc:language>en-US</dc:language>
  <cp:lastModifiedBy/>
  <dcterms:modified xsi:type="dcterms:W3CDTF">2026-10-22T13:53:44Z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